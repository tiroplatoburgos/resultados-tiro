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fe23f8b2e50b2ca/TIRADAS/"/>
    </mc:Choice>
  </mc:AlternateContent>
  <xr:revisionPtr revIDLastSave="1" documentId="8_{E3C46596-005F-4BF1-9B8C-621DEE03B6C5}" xr6:coauthVersionLast="47" xr6:coauthVersionMax="47" xr10:uidLastSave="{1B47FF5F-1E20-40DE-833F-638AA2268618}"/>
  <bookViews>
    <workbookView xWindow="-120" yWindow="-120" windowWidth="29040" windowHeight="15840" tabRatio="662" firstSheet="1" activeTab="1" xr2:uid="{00000000-000D-0000-FFFF-FFFF00000000}"/>
  </bookViews>
  <sheets>
    <sheet name="PROVINCIAS" sheetId="1" r:id="rId1"/>
    <sheet name="INSCRIPCIONES" sheetId="29" r:id="rId2"/>
  </sheets>
  <externalReferences>
    <externalReference r:id="rId3"/>
  </externalReferences>
  <definedNames>
    <definedName name="_xlnm.Print_Area" localSheetId="0">PROVINCIAS!$A$1:$M$29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" i="29" l="1"/>
  <c r="P17" i="29" s="1"/>
  <c r="I17" i="29"/>
  <c r="H17" i="29"/>
  <c r="G17" i="29"/>
  <c r="F17" i="29"/>
  <c r="E17" i="29"/>
  <c r="D17" i="29"/>
  <c r="N16" i="29"/>
  <c r="P16" i="29" s="1"/>
  <c r="I16" i="29"/>
  <c r="H16" i="29"/>
  <c r="G16" i="29"/>
  <c r="F16" i="29"/>
  <c r="E16" i="29"/>
  <c r="D16" i="29"/>
  <c r="N15" i="29"/>
  <c r="P15" i="29" s="1"/>
  <c r="I15" i="29"/>
  <c r="H15" i="29"/>
  <c r="G15" i="29"/>
  <c r="F15" i="29"/>
  <c r="E15" i="29"/>
  <c r="D15" i="29"/>
  <c r="N14" i="29"/>
  <c r="P14" i="29" s="1"/>
  <c r="I14" i="29"/>
  <c r="H14" i="29"/>
  <c r="G14" i="29"/>
  <c r="F14" i="29"/>
  <c r="E14" i="29"/>
  <c r="D14" i="29"/>
  <c r="N13" i="29"/>
  <c r="P13" i="29" s="1"/>
  <c r="I13" i="29"/>
  <c r="H13" i="29"/>
  <c r="G13" i="29"/>
  <c r="F13" i="29"/>
  <c r="E13" i="29"/>
  <c r="N12" i="29"/>
  <c r="P12" i="29" s="1"/>
  <c r="I12" i="29"/>
  <c r="H12" i="29"/>
  <c r="G12" i="29"/>
  <c r="F12" i="29"/>
  <c r="E12" i="29"/>
  <c r="D12" i="29"/>
  <c r="N11" i="29"/>
  <c r="P11" i="29" s="1"/>
  <c r="I11" i="29"/>
  <c r="H11" i="29"/>
  <c r="G11" i="29"/>
  <c r="F11" i="29"/>
  <c r="E11" i="29"/>
  <c r="D11" i="29"/>
  <c r="N10" i="29"/>
  <c r="P10" i="29" s="1"/>
  <c r="I10" i="29"/>
  <c r="H10" i="29"/>
  <c r="G10" i="29"/>
  <c r="F10" i="29"/>
  <c r="E10" i="29"/>
  <c r="D10" i="29"/>
  <c r="N9" i="29"/>
  <c r="P9" i="29" s="1"/>
  <c r="I9" i="29"/>
  <c r="H9" i="29"/>
  <c r="G9" i="29"/>
  <c r="F9" i="29"/>
  <c r="E9" i="29"/>
  <c r="D9" i="29"/>
  <c r="N8" i="29"/>
  <c r="P8" i="29" s="1"/>
  <c r="I8" i="29"/>
  <c r="H8" i="29"/>
  <c r="G8" i="29"/>
  <c r="F8" i="29"/>
  <c r="E8" i="29"/>
  <c r="D8" i="29"/>
  <c r="N7" i="29"/>
  <c r="P7" i="29" s="1"/>
  <c r="I7" i="29"/>
  <c r="H7" i="29"/>
  <c r="G7" i="29"/>
  <c r="F7" i="29"/>
  <c r="E7" i="29"/>
  <c r="D7" i="29"/>
  <c r="N6" i="29"/>
  <c r="P6" i="29" s="1"/>
  <c r="I6" i="29"/>
  <c r="H6" i="29"/>
  <c r="G6" i="29"/>
  <c r="F6" i="29"/>
  <c r="E6" i="29"/>
  <c r="D6" i="29"/>
  <c r="N5" i="29"/>
  <c r="P5" i="29" s="1"/>
  <c r="I5" i="29"/>
  <c r="H5" i="29"/>
  <c r="G5" i="29"/>
  <c r="F5" i="29"/>
  <c r="E5" i="29"/>
  <c r="D5" i="29"/>
  <c r="N4" i="29"/>
  <c r="P4" i="29" s="1"/>
  <c r="I4" i="29"/>
  <c r="H4" i="29"/>
  <c r="G4" i="29"/>
  <c r="F4" i="29"/>
  <c r="E4" i="29"/>
  <c r="D4" i="29"/>
  <c r="N3" i="29"/>
  <c r="P3" i="29" s="1"/>
  <c r="I3" i="29"/>
  <c r="H3" i="29"/>
  <c r="G3" i="29"/>
  <c r="F3" i="29"/>
  <c r="E3" i="29"/>
  <c r="D3" i="29"/>
  <c r="N2" i="29"/>
  <c r="P2" i="29" s="1"/>
  <c r="I2" i="29"/>
  <c r="H2" i="29"/>
  <c r="G2" i="29"/>
  <c r="F2" i="29"/>
  <c r="E2" i="29"/>
  <c r="D2" i="29"/>
</calcChain>
</file>

<file path=xl/sharedStrings.xml><?xml version="1.0" encoding="utf-8"?>
<sst xmlns="http://schemas.openxmlformats.org/spreadsheetml/2006/main" count="160" uniqueCount="160">
  <si>
    <t>VI</t>
  </si>
  <si>
    <t>ÁLAVA</t>
  </si>
  <si>
    <t>FO</t>
  </si>
  <si>
    <t>FU</t>
  </si>
  <si>
    <t>SUB CAT</t>
  </si>
  <si>
    <t>AL</t>
  </si>
  <si>
    <t>ALMERÍA</t>
  </si>
  <si>
    <t>DM</t>
  </si>
  <si>
    <t>BA</t>
  </si>
  <si>
    <t>BADAJOZ</t>
  </si>
  <si>
    <t>JR</t>
  </si>
  <si>
    <t>BU</t>
  </si>
  <si>
    <t>BURGOS</t>
  </si>
  <si>
    <t>SR</t>
  </si>
  <si>
    <t>S</t>
  </si>
  <si>
    <t>CANTABRIA</t>
  </si>
  <si>
    <t>VET</t>
  </si>
  <si>
    <t>CR</t>
  </si>
  <si>
    <t>CIUDAD REAL</t>
  </si>
  <si>
    <t>MASTER</t>
  </si>
  <si>
    <t>CU</t>
  </si>
  <si>
    <t>CUENCA</t>
  </si>
  <si>
    <t>GU</t>
  </si>
  <si>
    <t>GUADALAJARA</t>
  </si>
  <si>
    <t>HU</t>
  </si>
  <si>
    <t>HUESCA</t>
  </si>
  <si>
    <t>L</t>
  </si>
  <si>
    <t>LÉRIDA</t>
  </si>
  <si>
    <t>MA</t>
  </si>
  <si>
    <t>MÁLAGA</t>
  </si>
  <si>
    <t>NA</t>
  </si>
  <si>
    <t>NAVARRA</t>
  </si>
  <si>
    <t>GC</t>
  </si>
  <si>
    <t>PALMAS, LAS</t>
  </si>
  <si>
    <t>SA</t>
  </si>
  <si>
    <t>SALAMANCA</t>
  </si>
  <si>
    <t>SO</t>
  </si>
  <si>
    <t>SORIA</t>
  </si>
  <si>
    <t>TE</t>
  </si>
  <si>
    <t>TERUEL</t>
  </si>
  <si>
    <t>VA</t>
  </si>
  <si>
    <t>VALLADOLID</t>
  </si>
  <si>
    <t>Z</t>
  </si>
  <si>
    <t>ZARAGOZA</t>
  </si>
  <si>
    <t>AB</t>
  </si>
  <si>
    <t>ALBACETE</t>
  </si>
  <si>
    <t>O</t>
  </si>
  <si>
    <t>ASTURIAS</t>
  </si>
  <si>
    <t>IB</t>
  </si>
  <si>
    <t>BALEARES, ISLAS</t>
  </si>
  <si>
    <t>CC</t>
  </si>
  <si>
    <t>CÁCERES</t>
  </si>
  <si>
    <t>CS</t>
  </si>
  <si>
    <t>CASTELLÓN</t>
  </si>
  <si>
    <t>CO</t>
  </si>
  <si>
    <t>CÓRDOBA</t>
  </si>
  <si>
    <t>GI</t>
  </si>
  <si>
    <t>GERONA</t>
  </si>
  <si>
    <t>SS</t>
  </si>
  <si>
    <t>GUIPÚZCOA</t>
  </si>
  <si>
    <t>J</t>
  </si>
  <si>
    <t>JAÉN</t>
  </si>
  <si>
    <t>LU</t>
  </si>
  <si>
    <t>LUGO</t>
  </si>
  <si>
    <t>ML</t>
  </si>
  <si>
    <t>MELILLA</t>
  </si>
  <si>
    <t>OU</t>
  </si>
  <si>
    <t>ORENSE</t>
  </si>
  <si>
    <t>PO</t>
  </si>
  <si>
    <t>PONTEVEDRA</t>
  </si>
  <si>
    <t>SG</t>
  </si>
  <si>
    <t>SEGOVIA</t>
  </si>
  <si>
    <t>T</t>
  </si>
  <si>
    <t>TARRAGONA</t>
  </si>
  <si>
    <t>TO</t>
  </si>
  <si>
    <t>TOLEDO</t>
  </si>
  <si>
    <t>BI</t>
  </si>
  <si>
    <t>VIZCAYA</t>
  </si>
  <si>
    <t>A</t>
  </si>
  <si>
    <t>ALICANTE</t>
  </si>
  <si>
    <t>AV</t>
  </si>
  <si>
    <t>ÁVILA</t>
  </si>
  <si>
    <t>B</t>
  </si>
  <si>
    <t>BARCELONA</t>
  </si>
  <si>
    <t>CA</t>
  </si>
  <si>
    <t>CÁDIZ</t>
  </si>
  <si>
    <t>CE</t>
  </si>
  <si>
    <t>CEUTA</t>
  </si>
  <si>
    <t>C</t>
  </si>
  <si>
    <t>CORUÑA, LA</t>
  </si>
  <si>
    <t>GR</t>
  </si>
  <si>
    <t>GRANADA</t>
  </si>
  <si>
    <t>H</t>
  </si>
  <si>
    <t>HUELVA</t>
  </si>
  <si>
    <t>LE</t>
  </si>
  <si>
    <t>LEÓN</t>
  </si>
  <si>
    <t>M</t>
  </si>
  <si>
    <t>MADRID</t>
  </si>
  <si>
    <t>MU</t>
  </si>
  <si>
    <t>MURCIA</t>
  </si>
  <si>
    <t>P</t>
  </si>
  <si>
    <t>PALENCIA</t>
  </si>
  <si>
    <t>LO</t>
  </si>
  <si>
    <t>RIOJA, LA</t>
  </si>
  <si>
    <t>SE</t>
  </si>
  <si>
    <t>SEVILLA</t>
  </si>
  <si>
    <t>TF</t>
  </si>
  <si>
    <t>TENERIFE</t>
  </si>
  <si>
    <t>V</t>
  </si>
  <si>
    <t>VALENCIA</t>
  </si>
  <si>
    <t>ZA</t>
  </si>
  <si>
    <t>ZAMORA</t>
  </si>
  <si>
    <t>DNI</t>
  </si>
  <si>
    <t>NOMBRE Y APELLIDOS</t>
  </si>
  <si>
    <t>LICENCIA</t>
  </si>
  <si>
    <t>CAT. FO</t>
  </si>
  <si>
    <t>CAT. FU</t>
  </si>
  <si>
    <t>.</t>
  </si>
  <si>
    <t>71926593G</t>
  </si>
  <si>
    <t>13171698N</t>
  </si>
  <si>
    <t>13165082C</t>
  </si>
  <si>
    <t>31258129W</t>
  </si>
  <si>
    <t>13152974X</t>
  </si>
  <si>
    <t>13079769Z</t>
  </si>
  <si>
    <t>71931479Z</t>
  </si>
  <si>
    <t>13075249W</t>
  </si>
  <si>
    <t>13143035F</t>
  </si>
  <si>
    <t>13164091H</t>
  </si>
  <si>
    <t>POS</t>
  </si>
  <si>
    <t>DORSAL</t>
  </si>
  <si>
    <t>PROV</t>
  </si>
  <si>
    <t>SUBC</t>
  </si>
  <si>
    <t>S-1</t>
  </si>
  <si>
    <t>S-2</t>
  </si>
  <si>
    <t>S-3</t>
  </si>
  <si>
    <t>S-4</t>
  </si>
  <si>
    <t>TOTAL</t>
  </si>
  <si>
    <t>SHOOT OFF</t>
  </si>
  <si>
    <t>FINAL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</si>
  <si>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</si>
  <si>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</si>
  <si>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</si>
  <si>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</si>
  <si>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</si>
  <si>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</si>
  <si>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</si>
  <si>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</si>
  <si>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</si>
  <si>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</si>
  <si>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</si>
  <si>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</si>
  <si>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</si>
  <si>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</si>
  <si>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</si>
  <si>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</si>
  <si>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13092805D</t>
  </si>
  <si>
    <t>12391017C</t>
  </si>
  <si>
    <t>12755878D</t>
  </si>
  <si>
    <t>13129515B</t>
  </si>
  <si>
    <t>71279438T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</si>
</sst>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41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" fillId="7" borderId="7" xfId="0" applyFont="1" applyFill="1" applyBorder="1" applyAlignment="1">
      <alignment horizontal="center" vertical="center" shrinkToFit="1"/>
    </xf>
    <xf numFmtId="0" fontId="1" fillId="8" borderId="8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 vertical="center" shrinkToFit="1"/>
    </xf>
    <xf numFmtId="0" fontId="0" fillId="9" borderId="8" xfId="0" applyFill="1" applyBorder="1" applyAlignment="1">
      <alignment horizontal="center" vertical="center" shrinkToFit="1"/>
    </xf>
    <xf numFmtId="0" fontId="1" fillId="3" borderId="3" xfId="0" applyFont="1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1" fillId="3" borderId="5" xfId="0" applyFont="1" applyFill="1" applyBorder="1" applyAlignment="1">
      <alignment horizontal="center" vertical="center" shrinkToFit="1"/>
    </xf>
    <xf numFmtId="0" fontId="0" fillId="9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1" fillId="0" borderId="0" xfId="0" applyFont="1" applyAlignment="1">
      <alignment horizontal="center" vertical="center" shrinkToFit="1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16" xfId="0" applyFont="1" applyBorder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10" borderId="0" xfId="0" applyNumberForma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49" fontId="3" fillId="2" borderId="10" xfId="0" applyNumberFormat="1" applyFont="1" applyFill="1" applyBorder="1" applyAlignment="1">
      <alignment horizontal="center" vertical="center"/>
    </xf>
    <xf numFmtId="49" fontId="1" fillId="2" borderId="21" xfId="0" applyNumberFormat="1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left" vertical="center"/>
    </xf>
    <xf numFmtId="0" fontId="3" fillId="2" borderId="21" xfId="0" applyFont="1" applyFill="1" applyBorder="1" applyAlignment="1">
      <alignment horizontal="center" vertical="center"/>
    </xf>
    <xf numFmtId="3" fontId="3" fillId="2" borderId="21" xfId="0" applyNumberFormat="1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1" fontId="4" fillId="0" borderId="11" xfId="0" applyNumberFormat="1" applyFont="1" applyBorder="1" applyAlignment="1">
      <alignment horizontal="center" vertical="center"/>
    </xf>
    <xf numFmtId="0" fontId="4" fillId="0" borderId="11" xfId="0" applyFont="1" applyBorder="1" applyAlignment="1" applyProtection="1">
      <alignment horizontal="left" vertical="center"/>
      <protection hidden="1"/>
    </xf>
    <xf numFmtId="0" fontId="4" fillId="0" borderId="11" xfId="0" applyFont="1" applyBorder="1" applyAlignment="1" applyProtection="1">
      <alignment horizontal="center" vertical="center"/>
      <protection hidden="1"/>
    </xf>
    <xf numFmtId="3" fontId="4" fillId="0" borderId="11" xfId="0" applyNumberFormat="1" applyFont="1" applyBorder="1" applyAlignment="1" applyProtection="1">
      <alignment horizontal="center" vertical="center"/>
      <protection hidden="1"/>
    </xf>
    <xf numFmtId="0" fontId="4" fillId="3" borderId="13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left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3" fontId="4" fillId="0" borderId="0" xfId="0" applyNumberFormat="1" applyFont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/>
      <protection locked="0"/>
    </xf>
    <xf numFmtId="0" fontId="4" fillId="3" borderId="15" xfId="0" applyFont="1" applyFill="1" applyBorder="1" applyAlignment="1">
      <alignment horizontal="center" vertical="center"/>
    </xf>
    <xf numFmtId="1" fontId="4" fillId="0" borderId="16" xfId="0" applyNumberFormat="1" applyFont="1" applyBorder="1" applyAlignment="1">
      <alignment horizontal="center" vertical="center"/>
    </xf>
    <xf numFmtId="0" fontId="4" fillId="0" borderId="16" xfId="0" applyFont="1" applyBorder="1" applyAlignment="1" applyProtection="1">
      <alignment horizontal="left" vertical="center"/>
      <protection hidden="1"/>
    </xf>
    <xf numFmtId="0" fontId="4" fillId="0" borderId="16" xfId="0" applyFont="1" applyBorder="1" applyAlignment="1" applyProtection="1">
      <alignment horizontal="center" vertical="center"/>
      <protection hidden="1"/>
    </xf>
    <xf numFmtId="3" fontId="4" fillId="0" borderId="1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</dxfs>
  <tableStyles count="1" defaultTableStyle="TableStyleMedium6" defaultPivotStyle="PivotStyleLight16">
    <tableStyle name="Estilo de tabla dinámica 1" table="0" count="1" xr9:uid="{2BD6C3CC-567A-4AF6-9DA5-5D844C8F6B61}">
      <tableStyleElement type="pageFieldValues" dxfId="4"/>
    </tableStyle>
  </tableStyles>
  <colors>
    <mruColors>
      <color rgb="FF794419"/>
      <color rgb="FFE60000"/>
      <color rgb="FFD60000"/>
      <color rgb="FF6F3F17"/>
      <color rgb="FFFF5050"/>
      <color rgb="FF10AC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fe23f8b2e50b2ca/TIRADAS/2026/SAN%20LESMES%202026/TIRADA%20SAN%20LESMES%202026.xlsm" TargetMode="External"/><Relationship Id="rId1" Type="http://schemas.openxmlformats.org/officeDocument/2006/relationships/externalLinkPath" Target="2026/SAN%20LESMES%202026/TIRADA%20SAN%20LESMES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VINCIAS"/>
      <sheetName val="BTiradores"/>
      <sheetName val="INSCRIPCIONES"/>
      <sheetName val="CLASIFICACION"/>
      <sheetName val="CATEGORIAS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</sheetNames>
    <sheetDataSet>
      <sheetData sheetId="0"/>
      <sheetData sheetId="1">
        <row r="2">
          <cell r="B2" t="str">
            <v>0</v>
          </cell>
          <cell r="C2" t="str">
            <v>.</v>
          </cell>
          <cell r="D2" t="str">
            <v>.</v>
          </cell>
          <cell r="E2" t="str">
            <v>.</v>
          </cell>
          <cell r="F2" t="str">
            <v>.</v>
          </cell>
          <cell r="G2" t="str">
            <v>.</v>
          </cell>
          <cell r="H2" t="str">
            <v>.</v>
          </cell>
        </row>
        <row r="3">
          <cell r="B3" t="str">
            <v>13129515B</v>
          </cell>
          <cell r="C3" t="str">
            <v>Igor Sergio Catalina</v>
          </cell>
          <cell r="E3" t="str">
            <v>BU</v>
          </cell>
          <cell r="F3">
            <v>3</v>
          </cell>
          <cell r="G3">
            <v>3</v>
          </cell>
          <cell r="H3" t="str">
            <v>SR</v>
          </cell>
        </row>
        <row r="4">
          <cell r="B4" t="str">
            <v>71279438T</v>
          </cell>
          <cell r="C4" t="str">
            <v>Ivan Gonzalez Palacin</v>
          </cell>
          <cell r="D4">
            <v>5849</v>
          </cell>
          <cell r="E4" t="str">
            <v>BU</v>
          </cell>
          <cell r="F4">
            <v>4</v>
          </cell>
          <cell r="G4">
            <v>4</v>
          </cell>
          <cell r="H4" t="str">
            <v>SR</v>
          </cell>
        </row>
        <row r="5">
          <cell r="B5" t="str">
            <v>12391017C</v>
          </cell>
          <cell r="C5" t="str">
            <v>Carlos Ventura</v>
          </cell>
          <cell r="D5">
            <v>5630</v>
          </cell>
          <cell r="E5" t="str">
            <v>BU</v>
          </cell>
          <cell r="F5">
            <v>4</v>
          </cell>
          <cell r="G5">
            <v>4</v>
          </cell>
          <cell r="H5" t="str">
            <v>SR</v>
          </cell>
        </row>
        <row r="6">
          <cell r="B6" t="str">
            <v>71239672R</v>
          </cell>
          <cell r="C6" t="str">
            <v>Abel Nuñez Gete</v>
          </cell>
          <cell r="E6" t="str">
            <v>BU</v>
          </cell>
          <cell r="F6">
            <v>4</v>
          </cell>
          <cell r="G6">
            <v>4</v>
          </cell>
          <cell r="H6" t="str">
            <v>SR</v>
          </cell>
        </row>
        <row r="7">
          <cell r="B7" t="str">
            <v>14211027V</v>
          </cell>
          <cell r="C7" t="str">
            <v>Abilio Garcia Del Barrio</v>
          </cell>
          <cell r="D7">
            <v>2466</v>
          </cell>
          <cell r="E7" t="str">
            <v>BU</v>
          </cell>
          <cell r="F7">
            <v>3</v>
          </cell>
          <cell r="G7">
            <v>3</v>
          </cell>
          <cell r="H7" t="str">
            <v>VET</v>
          </cell>
        </row>
        <row r="8">
          <cell r="C8" t="str">
            <v>Alberto Izquierdo  Macareno</v>
          </cell>
          <cell r="E8" t="str">
            <v>NA</v>
          </cell>
          <cell r="F8">
            <v>2</v>
          </cell>
          <cell r="G8">
            <v>2</v>
          </cell>
          <cell r="H8" t="str">
            <v>SR</v>
          </cell>
        </row>
        <row r="9">
          <cell r="B9" t="str">
            <v>71457094G</v>
          </cell>
          <cell r="C9" t="str">
            <v>Alejandro Alvarez Garcia</v>
          </cell>
          <cell r="E9" t="str">
            <v>LE</v>
          </cell>
          <cell r="F9">
            <v>2</v>
          </cell>
          <cell r="G9">
            <v>2</v>
          </cell>
          <cell r="H9" t="str">
            <v>SR</v>
          </cell>
        </row>
        <row r="10">
          <cell r="B10" t="str">
            <v>71284520E</v>
          </cell>
          <cell r="C10" t="str">
            <v>Alejandro Gil Ortiz</v>
          </cell>
          <cell r="D10">
            <v>1233</v>
          </cell>
          <cell r="E10" t="str">
            <v>BU</v>
          </cell>
          <cell r="F10">
            <v>2</v>
          </cell>
          <cell r="G10">
            <v>2</v>
          </cell>
          <cell r="H10" t="str">
            <v>SR</v>
          </cell>
        </row>
        <row r="11">
          <cell r="C11" t="str">
            <v>Alejandro Poza Aparicio</v>
          </cell>
          <cell r="E11" t="str">
            <v>BI</v>
          </cell>
          <cell r="F11">
            <v>2</v>
          </cell>
          <cell r="G11">
            <v>2</v>
          </cell>
          <cell r="H11" t="str">
            <v>VET</v>
          </cell>
        </row>
        <row r="12">
          <cell r="C12" t="str">
            <v>Alvaro Bayo</v>
          </cell>
          <cell r="E12" t="str">
            <v>NA</v>
          </cell>
          <cell r="F12">
            <v>2</v>
          </cell>
          <cell r="G12">
            <v>2</v>
          </cell>
          <cell r="H12" t="str">
            <v>SR</v>
          </cell>
        </row>
        <row r="13">
          <cell r="C13" t="str">
            <v>Ander Bilbao Goikoetxea</v>
          </cell>
          <cell r="E13" t="str">
            <v>BI</v>
          </cell>
          <cell r="F13">
            <v>1</v>
          </cell>
          <cell r="G13">
            <v>1</v>
          </cell>
          <cell r="H13" t="str">
            <v>SR</v>
          </cell>
        </row>
        <row r="14">
          <cell r="C14" t="str">
            <v>Andoni Brenlla Perez</v>
          </cell>
          <cell r="E14" t="str">
            <v>BI</v>
          </cell>
          <cell r="F14">
            <v>3</v>
          </cell>
          <cell r="G14">
            <v>2</v>
          </cell>
          <cell r="H14" t="str">
            <v>SR</v>
          </cell>
        </row>
        <row r="15">
          <cell r="B15" t="str">
            <v>13164487T</v>
          </cell>
          <cell r="C15" t="str">
            <v>Andres Barrio Garcia</v>
          </cell>
          <cell r="E15" t="str">
            <v>BU</v>
          </cell>
        </row>
        <row r="16">
          <cell r="B16" t="str">
            <v>11111111B</v>
          </cell>
          <cell r="C16" t="str">
            <v>Andres Hernandez Barriuso</v>
          </cell>
          <cell r="E16" t="str">
            <v>BU</v>
          </cell>
          <cell r="F16">
            <v>4</v>
          </cell>
          <cell r="G16">
            <v>4</v>
          </cell>
          <cell r="H16" t="str">
            <v>SR</v>
          </cell>
        </row>
        <row r="17">
          <cell r="C17" t="str">
            <v>Andres Iglesias Rumoroso</v>
          </cell>
          <cell r="E17" t="str">
            <v>BI</v>
          </cell>
          <cell r="F17">
            <v>2</v>
          </cell>
          <cell r="G17">
            <v>2</v>
          </cell>
          <cell r="H17" t="str">
            <v>SR</v>
          </cell>
        </row>
        <row r="18">
          <cell r="B18" t="str">
            <v>12245653Q</v>
          </cell>
          <cell r="C18" t="str">
            <v>Angel Alfonso Asensio</v>
          </cell>
          <cell r="D18">
            <v>57</v>
          </cell>
          <cell r="E18" t="str">
            <v>VA</v>
          </cell>
          <cell r="F18">
            <v>2</v>
          </cell>
          <cell r="G18">
            <v>1</v>
          </cell>
          <cell r="H18" t="str">
            <v>VET</v>
          </cell>
        </row>
        <row r="19">
          <cell r="B19" t="str">
            <v>12697313W</v>
          </cell>
          <cell r="C19" t="str">
            <v>Angel Garcia Sebastian</v>
          </cell>
          <cell r="D19">
            <v>2280</v>
          </cell>
          <cell r="E19" t="str">
            <v>P</v>
          </cell>
          <cell r="F19">
            <v>3</v>
          </cell>
          <cell r="G19">
            <v>3</v>
          </cell>
          <cell r="H19" t="str">
            <v>VET</v>
          </cell>
        </row>
        <row r="20">
          <cell r="B20" t="str">
            <v>14573239W</v>
          </cell>
          <cell r="C20" t="str">
            <v>Antolin Astonda Ualde</v>
          </cell>
          <cell r="D20">
            <v>143</v>
          </cell>
          <cell r="E20" t="str">
            <v>BI</v>
          </cell>
          <cell r="F20">
            <v>4</v>
          </cell>
          <cell r="G20">
            <v>4</v>
          </cell>
          <cell r="H20" t="str">
            <v>SR</v>
          </cell>
        </row>
        <row r="21">
          <cell r="B21" t="str">
            <v>12729699G</v>
          </cell>
          <cell r="C21" t="str">
            <v>Antonio Cardeñoso Garcia</v>
          </cell>
          <cell r="E21" t="str">
            <v>BI</v>
          </cell>
          <cell r="F21">
            <v>3</v>
          </cell>
          <cell r="G21">
            <v>3</v>
          </cell>
          <cell r="H21" t="str">
            <v>SR</v>
          </cell>
        </row>
        <row r="22">
          <cell r="C22" t="str">
            <v>Antonio Gago Martin</v>
          </cell>
          <cell r="E22" t="str">
            <v>ZA</v>
          </cell>
          <cell r="F22">
            <v>2</v>
          </cell>
          <cell r="G22">
            <v>2</v>
          </cell>
          <cell r="H22" t="str">
            <v>SR</v>
          </cell>
        </row>
        <row r="23">
          <cell r="B23" t="str">
            <v>76946147S</v>
          </cell>
          <cell r="C23" t="str">
            <v>Antonio Menendez</v>
          </cell>
          <cell r="E23" t="str">
            <v>O</v>
          </cell>
          <cell r="F23">
            <v>2</v>
          </cell>
          <cell r="G23">
            <v>2</v>
          </cell>
          <cell r="H23" t="str">
            <v>SR</v>
          </cell>
        </row>
        <row r="24">
          <cell r="B24" t="str">
            <v>35773902R</v>
          </cell>
          <cell r="C24" t="str">
            <v>Antonio Murua Arruti</v>
          </cell>
          <cell r="D24" t="str">
            <v>1986G</v>
          </cell>
          <cell r="E24" t="str">
            <v>BI</v>
          </cell>
          <cell r="F24">
            <v>3</v>
          </cell>
          <cell r="G24">
            <v>2</v>
          </cell>
          <cell r="H24" t="str">
            <v>SR</v>
          </cell>
        </row>
        <row r="25">
          <cell r="B25" t="str">
            <v>72083189Q</v>
          </cell>
          <cell r="C25" t="str">
            <v>Antonio Peña Herrero</v>
          </cell>
          <cell r="E25" t="str">
            <v>S</v>
          </cell>
          <cell r="F25">
            <v>4</v>
          </cell>
          <cell r="G25">
            <v>4</v>
          </cell>
          <cell r="H25" t="str">
            <v>SR</v>
          </cell>
        </row>
        <row r="26">
          <cell r="B26" t="str">
            <v>12673245S</v>
          </cell>
          <cell r="C26" t="str">
            <v>Antonio Roman Gonzalez</v>
          </cell>
          <cell r="D26">
            <v>2290</v>
          </cell>
          <cell r="E26" t="str">
            <v>P</v>
          </cell>
          <cell r="F26">
            <v>3</v>
          </cell>
          <cell r="G26">
            <v>3</v>
          </cell>
          <cell r="H26" t="str">
            <v>VET</v>
          </cell>
        </row>
        <row r="27">
          <cell r="B27" t="str">
            <v>13158737T</v>
          </cell>
          <cell r="C27" t="str">
            <v>Antonio Saiz Antolin "FARRU"</v>
          </cell>
          <cell r="D27">
            <v>2456</v>
          </cell>
          <cell r="E27" t="str">
            <v>BU</v>
          </cell>
          <cell r="F27">
            <v>4</v>
          </cell>
          <cell r="G27">
            <v>4</v>
          </cell>
          <cell r="H27" t="str">
            <v>SR</v>
          </cell>
        </row>
        <row r="28">
          <cell r="B28" t="str">
            <v>71926593G</v>
          </cell>
          <cell r="C28" t="str">
            <v>Arturo Ruiz Lopez</v>
          </cell>
          <cell r="E28" t="str">
            <v>BU</v>
          </cell>
          <cell r="F28">
            <v>2</v>
          </cell>
          <cell r="G28">
            <v>2</v>
          </cell>
          <cell r="H28" t="str">
            <v>SR</v>
          </cell>
        </row>
        <row r="29">
          <cell r="B29" t="str">
            <v>10584288X</v>
          </cell>
          <cell r="C29" t="str">
            <v>Aurelio Gonzalez Fueyo</v>
          </cell>
          <cell r="E29" t="str">
            <v>O</v>
          </cell>
          <cell r="F29">
            <v>4</v>
          </cell>
          <cell r="G29">
            <v>4</v>
          </cell>
          <cell r="H29" t="str">
            <v>VT</v>
          </cell>
        </row>
        <row r="30">
          <cell r="B30" t="str">
            <v>11111111E</v>
          </cell>
          <cell r="C30" t="str">
            <v>AUTOSERVICIO Cars &amp; Classic</v>
          </cell>
          <cell r="E30" t="str">
            <v>BU</v>
          </cell>
          <cell r="F30">
            <v>4</v>
          </cell>
          <cell r="G30">
            <v>4</v>
          </cell>
          <cell r="H30" t="str">
            <v>SR</v>
          </cell>
        </row>
        <row r="31">
          <cell r="B31" t="str">
            <v>52412504N</v>
          </cell>
          <cell r="C31" t="str">
            <v>Bruno Martin Moriño</v>
          </cell>
          <cell r="D31">
            <v>3723</v>
          </cell>
          <cell r="E31" t="str">
            <v>SA</v>
          </cell>
          <cell r="F31">
            <v>2</v>
          </cell>
          <cell r="G31">
            <v>2</v>
          </cell>
          <cell r="H31" t="str">
            <v>SR</v>
          </cell>
        </row>
        <row r="32">
          <cell r="B32" t="str">
            <v>9431070N</v>
          </cell>
          <cell r="C32" t="str">
            <v>Candido Jesus Riol Menendez</v>
          </cell>
          <cell r="D32">
            <v>3790</v>
          </cell>
          <cell r="E32" t="str">
            <v>AS</v>
          </cell>
          <cell r="F32">
            <v>3</v>
          </cell>
          <cell r="G32">
            <v>2</v>
          </cell>
          <cell r="H32" t="str">
            <v>SR</v>
          </cell>
        </row>
        <row r="33">
          <cell r="B33" t="str">
            <v>12398957W</v>
          </cell>
          <cell r="C33" t="str">
            <v>Carlos Franco Santiago</v>
          </cell>
          <cell r="D33">
            <v>125</v>
          </cell>
          <cell r="E33" t="str">
            <v>VA</v>
          </cell>
          <cell r="F33">
            <v>2</v>
          </cell>
          <cell r="G33">
            <v>2</v>
          </cell>
          <cell r="H33" t="str">
            <v>SR</v>
          </cell>
        </row>
        <row r="34">
          <cell r="C34" t="str">
            <v>Carlos Garces</v>
          </cell>
          <cell r="F34">
            <v>4</v>
          </cell>
          <cell r="G34">
            <v>4</v>
          </cell>
          <cell r="H34" t="str">
            <v>SR</v>
          </cell>
        </row>
        <row r="35">
          <cell r="C35" t="str">
            <v>Carlos Gomez de Pablo (COPIO)</v>
          </cell>
          <cell r="E35" t="str">
            <v>SG</v>
          </cell>
          <cell r="F35">
            <v>2</v>
          </cell>
          <cell r="G35">
            <v>2</v>
          </cell>
          <cell r="H35" t="str">
            <v>SR</v>
          </cell>
        </row>
        <row r="36">
          <cell r="C36" t="str">
            <v>Carlos Inchausti Martinez</v>
          </cell>
          <cell r="E36" t="str">
            <v>LO</v>
          </cell>
          <cell r="F36">
            <v>2</v>
          </cell>
          <cell r="G36">
            <v>2</v>
          </cell>
          <cell r="H36" t="str">
            <v>SR</v>
          </cell>
        </row>
        <row r="37">
          <cell r="B37" t="str">
            <v>12731818F</v>
          </cell>
          <cell r="C37" t="str">
            <v>Carlos Mari Perez Martin</v>
          </cell>
          <cell r="D37">
            <v>2266</v>
          </cell>
          <cell r="E37" t="str">
            <v>P</v>
          </cell>
          <cell r="F37">
            <v>2</v>
          </cell>
          <cell r="G37">
            <v>2</v>
          </cell>
          <cell r="H37" t="str">
            <v>SR</v>
          </cell>
        </row>
        <row r="38">
          <cell r="B38" t="str">
            <v>45424838E</v>
          </cell>
          <cell r="C38" t="str">
            <v>Carmelo Heredero</v>
          </cell>
          <cell r="E38" t="str">
            <v>BU</v>
          </cell>
          <cell r="F38">
            <v>4</v>
          </cell>
          <cell r="G38">
            <v>4</v>
          </cell>
          <cell r="H38" t="str">
            <v>SR</v>
          </cell>
        </row>
        <row r="39">
          <cell r="B39" t="str">
            <v>5644642M</v>
          </cell>
          <cell r="C39" t="str">
            <v>Cesar Anaya Garcia</v>
          </cell>
          <cell r="D39">
            <v>310</v>
          </cell>
          <cell r="E39" t="str">
            <v>CR</v>
          </cell>
          <cell r="F39">
            <v>3</v>
          </cell>
          <cell r="G39">
            <v>3</v>
          </cell>
          <cell r="H39" t="str">
            <v>SR</v>
          </cell>
        </row>
        <row r="40">
          <cell r="B40" t="str">
            <v>13169677S</v>
          </cell>
          <cell r="C40" t="str">
            <v>Cesar Fernandez Ruiz</v>
          </cell>
          <cell r="E40" t="str">
            <v>BU</v>
          </cell>
        </row>
        <row r="41">
          <cell r="B41" t="str">
            <v>9724330E</v>
          </cell>
          <cell r="C41" t="str">
            <v>Daciano Giganto Garcia</v>
          </cell>
          <cell r="D41">
            <v>2754</v>
          </cell>
          <cell r="E41" t="str">
            <v>LE</v>
          </cell>
          <cell r="F41">
            <v>2</v>
          </cell>
          <cell r="G41">
            <v>2</v>
          </cell>
          <cell r="H41" t="str">
            <v>SR</v>
          </cell>
        </row>
        <row r="42">
          <cell r="B42" t="str">
            <v>70909345T</v>
          </cell>
          <cell r="C42" t="str">
            <v>Daniel Alonso Rodriguez</v>
          </cell>
          <cell r="D42">
            <v>3711</v>
          </cell>
          <cell r="E42" t="str">
            <v>SA</v>
          </cell>
          <cell r="F42">
            <v>2</v>
          </cell>
          <cell r="G42">
            <v>2</v>
          </cell>
          <cell r="H42" t="str">
            <v>SR</v>
          </cell>
        </row>
        <row r="43">
          <cell r="C43" t="str">
            <v>Daniel Perez</v>
          </cell>
          <cell r="E43" t="str">
            <v>BU</v>
          </cell>
          <cell r="F43">
            <v>4</v>
          </cell>
          <cell r="G43">
            <v>4</v>
          </cell>
          <cell r="H43" t="str">
            <v>SR</v>
          </cell>
        </row>
        <row r="44">
          <cell r="B44" t="str">
            <v>71101950A</v>
          </cell>
          <cell r="C44" t="str">
            <v xml:space="preserve">DAVID DELGADO MONGE, </v>
          </cell>
          <cell r="E44" t="str">
            <v>BU</v>
          </cell>
        </row>
        <row r="45">
          <cell r="B45" t="str">
            <v>45738539A</v>
          </cell>
          <cell r="C45" t="str">
            <v>David Martínez</v>
          </cell>
          <cell r="E45" t="str">
            <v>CO</v>
          </cell>
          <cell r="F45">
            <v>3</v>
          </cell>
          <cell r="G45">
            <v>3</v>
          </cell>
          <cell r="H45" t="str">
            <v>SR</v>
          </cell>
        </row>
        <row r="46">
          <cell r="B46" t="str">
            <v>71431147R</v>
          </cell>
          <cell r="C46" t="str">
            <v>David Perez Llamazares</v>
          </cell>
          <cell r="D46">
            <v>2600</v>
          </cell>
          <cell r="E46" t="str">
            <v>LE</v>
          </cell>
          <cell r="F46">
            <v>1</v>
          </cell>
          <cell r="G46">
            <v>1</v>
          </cell>
          <cell r="H46" t="str">
            <v>SR</v>
          </cell>
        </row>
        <row r="47">
          <cell r="B47" t="str">
            <v>76962426X</v>
          </cell>
          <cell r="C47" t="str">
            <v>David Vicente Gutierrez</v>
          </cell>
          <cell r="D47">
            <v>3856</v>
          </cell>
          <cell r="E47" t="str">
            <v>AS</v>
          </cell>
          <cell r="F47">
            <v>3</v>
          </cell>
          <cell r="G47">
            <v>3</v>
          </cell>
          <cell r="H47" t="str">
            <v>SR</v>
          </cell>
        </row>
        <row r="48">
          <cell r="B48" t="str">
            <v>30662523G</v>
          </cell>
          <cell r="C48" t="str">
            <v>Diego Fernandez Martinez</v>
          </cell>
          <cell r="D48" t="str">
            <v>1702A</v>
          </cell>
          <cell r="E48" t="str">
            <v>VI</v>
          </cell>
          <cell r="F48">
            <v>4</v>
          </cell>
          <cell r="G48">
            <v>4</v>
          </cell>
          <cell r="H48" t="str">
            <v>SR</v>
          </cell>
        </row>
        <row r="49">
          <cell r="B49" t="str">
            <v>71269863Q</v>
          </cell>
          <cell r="C49" t="str">
            <v>Diego Gallardo Garcia</v>
          </cell>
          <cell r="D49">
            <v>2541</v>
          </cell>
          <cell r="E49" t="str">
            <v>BU</v>
          </cell>
          <cell r="F49">
            <v>3</v>
          </cell>
          <cell r="G49">
            <v>3</v>
          </cell>
          <cell r="H49" t="str">
            <v>SR</v>
          </cell>
        </row>
        <row r="50">
          <cell r="C50" t="str">
            <v>Eduardo Fernandez Prieto</v>
          </cell>
          <cell r="E50" t="str">
            <v>BU</v>
          </cell>
          <cell r="F50">
            <v>4</v>
          </cell>
          <cell r="G50">
            <v>4</v>
          </cell>
          <cell r="H50" t="str">
            <v>VET</v>
          </cell>
        </row>
        <row r="51">
          <cell r="C51" t="str">
            <v>Eduardo Garcia Pineda</v>
          </cell>
          <cell r="E51" t="str">
            <v>LE</v>
          </cell>
          <cell r="F51">
            <v>4</v>
          </cell>
          <cell r="G51">
            <v>4</v>
          </cell>
          <cell r="H51" t="str">
            <v>SR</v>
          </cell>
        </row>
        <row r="52">
          <cell r="B52" t="str">
            <v>16600337H</v>
          </cell>
          <cell r="C52" t="str">
            <v>Eduardo Ijalba Aguirre</v>
          </cell>
          <cell r="E52" t="str">
            <v>LO</v>
          </cell>
          <cell r="F52">
            <v>3</v>
          </cell>
          <cell r="G52">
            <v>3</v>
          </cell>
          <cell r="H52" t="str">
            <v>SR</v>
          </cell>
        </row>
        <row r="53">
          <cell r="B53" t="str">
            <v>16571226W</v>
          </cell>
          <cell r="C53" t="str">
            <v>Eduardo Martinez Duarte</v>
          </cell>
          <cell r="D53">
            <v>2379</v>
          </cell>
          <cell r="E53" t="str">
            <v>LO</v>
          </cell>
          <cell r="F53">
            <v>3</v>
          </cell>
          <cell r="G53">
            <v>3</v>
          </cell>
          <cell r="H53" t="str">
            <v>SR</v>
          </cell>
        </row>
        <row r="54">
          <cell r="B54" t="str">
            <v>71941654T</v>
          </cell>
          <cell r="C54" t="str">
            <v>Eduardo Muñoz Garcia</v>
          </cell>
          <cell r="E54" t="str">
            <v>P</v>
          </cell>
          <cell r="F54">
            <v>4</v>
          </cell>
          <cell r="G54">
            <v>4</v>
          </cell>
          <cell r="H54" t="str">
            <v>SR</v>
          </cell>
        </row>
        <row r="55">
          <cell r="C55" t="str">
            <v>Ekain Sukia Etxeberria</v>
          </cell>
          <cell r="E55" t="str">
            <v>BI</v>
          </cell>
          <cell r="F55">
            <v>4</v>
          </cell>
          <cell r="H55" t="str">
            <v>SR</v>
          </cell>
        </row>
        <row r="56">
          <cell r="C56" t="str">
            <v>Elias Belber Fernandez</v>
          </cell>
          <cell r="E56" t="str">
            <v>ZA</v>
          </cell>
          <cell r="F56">
            <v>3</v>
          </cell>
          <cell r="G56">
            <v>3</v>
          </cell>
          <cell r="H56" t="str">
            <v>SR</v>
          </cell>
        </row>
        <row r="57">
          <cell r="C57" t="str">
            <v>Eliseo Crespo Mayo</v>
          </cell>
          <cell r="E57" t="str">
            <v>VA</v>
          </cell>
          <cell r="F57">
            <v>2</v>
          </cell>
          <cell r="G57">
            <v>2</v>
          </cell>
          <cell r="H57" t="str">
            <v>VET</v>
          </cell>
        </row>
        <row r="58">
          <cell r="B58" t="str">
            <v>13707185J</v>
          </cell>
          <cell r="C58" t="str">
            <v>Emilio San Emeterio Peña</v>
          </cell>
          <cell r="E58" t="str">
            <v>S</v>
          </cell>
          <cell r="F58">
            <v>4</v>
          </cell>
          <cell r="H58" t="str">
            <v>VET</v>
          </cell>
        </row>
        <row r="59">
          <cell r="B59" t="str">
            <v>16807100B</v>
          </cell>
          <cell r="C59" t="str">
            <v>Enrique Jimenez Marin</v>
          </cell>
          <cell r="D59">
            <v>1232</v>
          </cell>
          <cell r="E59" t="str">
            <v>SO</v>
          </cell>
          <cell r="F59">
            <v>4</v>
          </cell>
          <cell r="G59">
            <v>4</v>
          </cell>
          <cell r="H59" t="str">
            <v>SR</v>
          </cell>
        </row>
        <row r="60">
          <cell r="B60" t="str">
            <v>72059150N</v>
          </cell>
          <cell r="C60" t="str">
            <v>Enrique Ruiz Ruiz</v>
          </cell>
          <cell r="D60" t="str">
            <v>5203B</v>
          </cell>
          <cell r="E60" t="str">
            <v>BI</v>
          </cell>
          <cell r="F60">
            <v>4</v>
          </cell>
          <cell r="G60">
            <v>4</v>
          </cell>
          <cell r="H60" t="str">
            <v>SR</v>
          </cell>
        </row>
        <row r="61">
          <cell r="C61" t="str">
            <v>Enrique Urra lopez</v>
          </cell>
          <cell r="E61" t="str">
            <v>NA</v>
          </cell>
          <cell r="F61">
            <v>3</v>
          </cell>
          <cell r="H61" t="str">
            <v>SR</v>
          </cell>
        </row>
        <row r="62">
          <cell r="C62" t="str">
            <v>Enrique Velasco Gonzalez</v>
          </cell>
          <cell r="E62" t="str">
            <v>LE</v>
          </cell>
          <cell r="F62">
            <v>2</v>
          </cell>
          <cell r="G62">
            <v>2</v>
          </cell>
          <cell r="H62" t="str">
            <v>SR</v>
          </cell>
        </row>
        <row r="63">
          <cell r="B63" t="str">
            <v>20214279Q</v>
          </cell>
          <cell r="C63" t="str">
            <v>Eusebio Barquin Herreria</v>
          </cell>
          <cell r="D63" t="str">
            <v>5608B</v>
          </cell>
          <cell r="E63" t="str">
            <v>BI</v>
          </cell>
          <cell r="F63">
            <v>4</v>
          </cell>
          <cell r="G63">
            <v>2</v>
          </cell>
          <cell r="H63" t="str">
            <v>SR</v>
          </cell>
        </row>
        <row r="64">
          <cell r="C64" t="str">
            <v>Faustino Fernandez Arnaldo</v>
          </cell>
          <cell r="E64" t="str">
            <v>O</v>
          </cell>
          <cell r="F64">
            <v>4</v>
          </cell>
          <cell r="H64" t="str">
            <v>VET</v>
          </cell>
        </row>
        <row r="65">
          <cell r="B65" t="str">
            <v>12709375N</v>
          </cell>
          <cell r="C65" t="str">
            <v>Federico Lozano Ginel</v>
          </cell>
          <cell r="D65">
            <v>2255</v>
          </cell>
          <cell r="E65" t="str">
            <v>P</v>
          </cell>
          <cell r="F65">
            <v>2</v>
          </cell>
          <cell r="G65">
            <v>2</v>
          </cell>
          <cell r="H65" t="str">
            <v>VET</v>
          </cell>
        </row>
        <row r="66">
          <cell r="C66" t="str">
            <v>Feliciano Brezo Bastida</v>
          </cell>
          <cell r="E66" t="str">
            <v>VA</v>
          </cell>
          <cell r="F66">
            <v>2</v>
          </cell>
          <cell r="G66">
            <v>2</v>
          </cell>
          <cell r="H66" t="str">
            <v>SR</v>
          </cell>
        </row>
        <row r="67">
          <cell r="C67" t="str">
            <v>Felipe Peral Alvarez</v>
          </cell>
          <cell r="E67" t="str">
            <v>AV</v>
          </cell>
          <cell r="F67">
            <v>3</v>
          </cell>
          <cell r="G67">
            <v>3</v>
          </cell>
          <cell r="H67" t="str">
            <v>SR</v>
          </cell>
        </row>
        <row r="68">
          <cell r="B68" t="str">
            <v>70065281J</v>
          </cell>
          <cell r="C68" t="str">
            <v>Felix Bermejo Diaz</v>
          </cell>
          <cell r="D68">
            <v>1716</v>
          </cell>
          <cell r="E68" t="str">
            <v>SG</v>
          </cell>
          <cell r="F68">
            <v>3</v>
          </cell>
          <cell r="G68">
            <v>3</v>
          </cell>
          <cell r="H68" t="str">
            <v>SR</v>
          </cell>
        </row>
        <row r="69">
          <cell r="B69" t="str">
            <v>16796531E</v>
          </cell>
          <cell r="C69" t="str">
            <v>Felix Gomez Alcalde</v>
          </cell>
          <cell r="D69">
            <v>2352</v>
          </cell>
          <cell r="E69" t="str">
            <v>SO</v>
          </cell>
          <cell r="F69">
            <v>3</v>
          </cell>
          <cell r="G69">
            <v>3</v>
          </cell>
          <cell r="H69" t="str">
            <v>SR</v>
          </cell>
        </row>
        <row r="70">
          <cell r="B70" t="str">
            <v>71288878X</v>
          </cell>
          <cell r="C70" t="str">
            <v>Felix Ibañez Garcia</v>
          </cell>
          <cell r="E70" t="str">
            <v>BU</v>
          </cell>
          <cell r="F70">
            <v>2</v>
          </cell>
          <cell r="G70">
            <v>2</v>
          </cell>
          <cell r="H70" t="str">
            <v>SR</v>
          </cell>
        </row>
        <row r="71">
          <cell r="B71" t="str">
            <v>30626697N</v>
          </cell>
          <cell r="C71" t="str">
            <v>Felix Revilla</v>
          </cell>
          <cell r="E71" t="str">
            <v>BI</v>
          </cell>
          <cell r="F71">
            <v>2</v>
          </cell>
          <cell r="G71">
            <v>1</v>
          </cell>
          <cell r="H71" t="str">
            <v>SR</v>
          </cell>
        </row>
        <row r="72">
          <cell r="B72" t="str">
            <v>71100768V</v>
          </cell>
          <cell r="C72" t="str">
            <v>Fernando Gonzalez Peña</v>
          </cell>
          <cell r="E72" t="str">
            <v>BU</v>
          </cell>
        </row>
        <row r="73">
          <cell r="B73" t="str">
            <v>10176612D</v>
          </cell>
          <cell r="C73" t="str">
            <v>Flaviano Velasco</v>
          </cell>
          <cell r="E73" t="str">
            <v>O</v>
          </cell>
          <cell r="F73">
            <v>2</v>
          </cell>
          <cell r="H73" t="str">
            <v>SR</v>
          </cell>
        </row>
        <row r="74">
          <cell r="B74" t="str">
            <v>71101590B</v>
          </cell>
          <cell r="C74" t="str">
            <v>Francisco Aguado Mencia</v>
          </cell>
          <cell r="E74" t="str">
            <v>BU</v>
          </cell>
        </row>
        <row r="75">
          <cell r="B75" t="str">
            <v>16222313E</v>
          </cell>
          <cell r="C75" t="str">
            <v>Francisco Barroso Toledo</v>
          </cell>
          <cell r="E75" t="str">
            <v>BI</v>
          </cell>
          <cell r="F75">
            <v>2</v>
          </cell>
          <cell r="G75">
            <v>2</v>
          </cell>
          <cell r="H75" t="str">
            <v>VET</v>
          </cell>
        </row>
        <row r="76">
          <cell r="C76" t="str">
            <v>Francisco Del Rio Gil</v>
          </cell>
          <cell r="E76" t="str">
            <v>SA</v>
          </cell>
          <cell r="F76">
            <v>4</v>
          </cell>
          <cell r="G76">
            <v>4</v>
          </cell>
          <cell r="H76" t="str">
            <v>SR</v>
          </cell>
        </row>
        <row r="77">
          <cell r="C77" t="str">
            <v>Francisco Javier Calle Gomez</v>
          </cell>
          <cell r="E77" t="str">
            <v>P</v>
          </cell>
          <cell r="F77">
            <v>3</v>
          </cell>
          <cell r="G77">
            <v>3</v>
          </cell>
          <cell r="H77" t="str">
            <v>SR</v>
          </cell>
        </row>
        <row r="78">
          <cell r="B78" t="str">
            <v>16292565D</v>
          </cell>
          <cell r="C78" t="str">
            <v>Francisco Javier Trujillo Jimenez</v>
          </cell>
          <cell r="D78" t="str">
            <v>1708A</v>
          </cell>
          <cell r="E78" t="str">
            <v>VI</v>
          </cell>
          <cell r="F78">
            <v>4</v>
          </cell>
          <cell r="G78">
            <v>4</v>
          </cell>
          <cell r="H78" t="str">
            <v>SR</v>
          </cell>
        </row>
        <row r="79">
          <cell r="C79" t="str">
            <v>Francisco Perez Barbero</v>
          </cell>
          <cell r="E79" t="str">
            <v>LO</v>
          </cell>
          <cell r="F79">
            <v>3</v>
          </cell>
          <cell r="H79" t="str">
            <v>VET</v>
          </cell>
        </row>
        <row r="80">
          <cell r="B80" t="str">
            <v>16052696F</v>
          </cell>
          <cell r="C80" t="str">
            <v>Francisco Salor Vivas</v>
          </cell>
          <cell r="D80" t="str">
            <v>4522B</v>
          </cell>
          <cell r="E80" t="str">
            <v>BI</v>
          </cell>
          <cell r="F80">
            <v>4</v>
          </cell>
          <cell r="G80">
            <v>3</v>
          </cell>
          <cell r="H80" t="str">
            <v>SR</v>
          </cell>
        </row>
        <row r="81">
          <cell r="B81" t="str">
            <v>71362461Q</v>
          </cell>
          <cell r="C81" t="str">
            <v>Gabriel Rincon Blanco</v>
          </cell>
          <cell r="E81" t="str">
            <v>BU</v>
          </cell>
          <cell r="F81">
            <v>2</v>
          </cell>
          <cell r="G81">
            <v>2</v>
          </cell>
          <cell r="H81" t="str">
            <v>SR</v>
          </cell>
        </row>
        <row r="82">
          <cell r="B82" t="str">
            <v>13130212H</v>
          </cell>
          <cell r="C82" t="str">
            <v>Gabriel Santamaria Alonso</v>
          </cell>
          <cell r="D82">
            <v>1215</v>
          </cell>
          <cell r="E82" t="str">
            <v>BU</v>
          </cell>
          <cell r="F82">
            <v>4</v>
          </cell>
          <cell r="G82">
            <v>4</v>
          </cell>
          <cell r="H82" t="str">
            <v>SR</v>
          </cell>
        </row>
        <row r="83">
          <cell r="C83" t="str">
            <v>Garikoitz Derteano Sarrionandia</v>
          </cell>
          <cell r="E83" t="str">
            <v>NA</v>
          </cell>
          <cell r="F83">
            <v>4</v>
          </cell>
          <cell r="H83" t="str">
            <v>SR</v>
          </cell>
        </row>
        <row r="84">
          <cell r="B84" t="str">
            <v>12736860N</v>
          </cell>
          <cell r="C84" t="str">
            <v>Gregorio Noriega</v>
          </cell>
          <cell r="D84">
            <v>2431</v>
          </cell>
          <cell r="E84" t="str">
            <v>BU</v>
          </cell>
          <cell r="F84">
            <v>3</v>
          </cell>
          <cell r="G84">
            <v>3</v>
          </cell>
          <cell r="H84" t="str">
            <v>SR</v>
          </cell>
        </row>
        <row r="85">
          <cell r="C85" t="str">
            <v>Guillermo Cortes Frutos</v>
          </cell>
          <cell r="E85" t="str">
            <v>BU</v>
          </cell>
          <cell r="F85">
            <v>4</v>
          </cell>
          <cell r="G85">
            <v>4</v>
          </cell>
          <cell r="H85" t="str">
            <v>SR</v>
          </cell>
        </row>
        <row r="86">
          <cell r="B86" t="str">
            <v>71265320G</v>
          </cell>
          <cell r="C86" t="str">
            <v>Guillermo Velasco Gonzalez</v>
          </cell>
          <cell r="D86">
            <v>2539</v>
          </cell>
          <cell r="E86" t="str">
            <v>BU</v>
          </cell>
          <cell r="F86">
            <v>4</v>
          </cell>
          <cell r="G86">
            <v>4</v>
          </cell>
          <cell r="H86" t="str">
            <v>SR</v>
          </cell>
        </row>
        <row r="87">
          <cell r="B87" t="str">
            <v>71709961D</v>
          </cell>
          <cell r="C87" t="str">
            <v>Guillermo Velasco Miguel</v>
          </cell>
          <cell r="D87">
            <v>5857</v>
          </cell>
          <cell r="E87" t="str">
            <v>BU</v>
          </cell>
          <cell r="F87">
            <v>4</v>
          </cell>
          <cell r="G87">
            <v>4</v>
          </cell>
          <cell r="H87" t="str">
            <v>JR</v>
          </cell>
        </row>
        <row r="88">
          <cell r="B88" t="str">
            <v>44153306E</v>
          </cell>
          <cell r="C88" t="str">
            <v>Ibon Aguirre Alkorta</v>
          </cell>
          <cell r="D88" t="str">
            <v>2502G</v>
          </cell>
          <cell r="E88" t="str">
            <v>SS</v>
          </cell>
          <cell r="F88">
            <v>2</v>
          </cell>
          <cell r="G88">
            <v>2</v>
          </cell>
          <cell r="H88" t="str">
            <v>SR</v>
          </cell>
        </row>
        <row r="89">
          <cell r="C89" t="str">
            <v>Ibon Arrieta Arcocha</v>
          </cell>
          <cell r="E89" t="str">
            <v>BI</v>
          </cell>
          <cell r="F89">
            <v>3</v>
          </cell>
          <cell r="H89" t="str">
            <v>SR</v>
          </cell>
        </row>
        <row r="90">
          <cell r="B90" t="str">
            <v>13121422Z</v>
          </cell>
          <cell r="C90" t="str">
            <v>Ignacio Merino Garcia</v>
          </cell>
          <cell r="E90" t="str">
            <v>BU</v>
          </cell>
        </row>
        <row r="91">
          <cell r="B91" t="str">
            <v>71288066A</v>
          </cell>
          <cell r="C91" t="str">
            <v>Iker Sancho Perez</v>
          </cell>
          <cell r="D91">
            <v>1238</v>
          </cell>
          <cell r="E91" t="str">
            <v>BU</v>
          </cell>
          <cell r="F91">
            <v>4</v>
          </cell>
          <cell r="G91">
            <v>4</v>
          </cell>
          <cell r="H91" t="str">
            <v>SR</v>
          </cell>
        </row>
        <row r="92">
          <cell r="C92" t="str">
            <v>Iñaki Lenkerika Basarte</v>
          </cell>
          <cell r="E92" t="str">
            <v>BI</v>
          </cell>
          <cell r="F92">
            <v>3</v>
          </cell>
          <cell r="H92" t="str">
            <v>VET</v>
          </cell>
        </row>
        <row r="93">
          <cell r="B93" t="str">
            <v>29151416C</v>
          </cell>
          <cell r="C93" t="str">
            <v>Iñaqui Oloriz Sanz</v>
          </cell>
          <cell r="D93">
            <v>2996</v>
          </cell>
          <cell r="E93" t="str">
            <v>NA</v>
          </cell>
          <cell r="F93">
            <v>2</v>
          </cell>
          <cell r="G93">
            <v>2</v>
          </cell>
          <cell r="H93" t="str">
            <v>SR</v>
          </cell>
        </row>
        <row r="94">
          <cell r="B94" t="str">
            <v>29034490A</v>
          </cell>
          <cell r="C94" t="str">
            <v>Iñigo Leoz Uriarte</v>
          </cell>
          <cell r="D94" t="str">
            <v>3323B</v>
          </cell>
          <cell r="E94" t="str">
            <v>BI</v>
          </cell>
          <cell r="F94">
            <v>3</v>
          </cell>
          <cell r="G94">
            <v>2</v>
          </cell>
          <cell r="H94" t="str">
            <v>SR</v>
          </cell>
        </row>
        <row r="95">
          <cell r="C95" t="str">
            <v>Isaac Castillo Zorzano</v>
          </cell>
          <cell r="E95" t="str">
            <v>LO</v>
          </cell>
          <cell r="F95">
            <v>3</v>
          </cell>
          <cell r="H95" t="str">
            <v>SR</v>
          </cell>
        </row>
        <row r="96">
          <cell r="B96" t="str">
            <v>12759532Y</v>
          </cell>
          <cell r="C96" t="str">
            <v>Isaac Macho Gutierrez</v>
          </cell>
        </row>
        <row r="97">
          <cell r="B97" t="str">
            <v>71285142T</v>
          </cell>
          <cell r="C97" t="str">
            <v>Isidoro Rincon Blanco</v>
          </cell>
          <cell r="D97">
            <v>1212</v>
          </cell>
          <cell r="E97" t="str">
            <v>BU</v>
          </cell>
          <cell r="F97">
            <v>2</v>
          </cell>
          <cell r="G97">
            <v>1</v>
          </cell>
          <cell r="H97" t="str">
            <v>SR</v>
          </cell>
        </row>
        <row r="98">
          <cell r="B98" t="str">
            <v>71122470F</v>
          </cell>
          <cell r="C98" t="str">
            <v>Isidro Abad Gutierrez</v>
          </cell>
          <cell r="E98" t="str">
            <v>EX</v>
          </cell>
          <cell r="F98">
            <v>1</v>
          </cell>
          <cell r="G98">
            <v>1</v>
          </cell>
          <cell r="H98" t="str">
            <v>SR</v>
          </cell>
        </row>
        <row r="99">
          <cell r="B99" t="str">
            <v>30639512Q</v>
          </cell>
          <cell r="C99" t="str">
            <v>Ivan Esteban Lopez Maidagan</v>
          </cell>
          <cell r="D99" t="str">
            <v>3918B</v>
          </cell>
          <cell r="E99" t="str">
            <v>BI</v>
          </cell>
          <cell r="F99">
            <v>2</v>
          </cell>
          <cell r="G99">
            <v>2</v>
          </cell>
          <cell r="H99" t="str">
            <v>SR</v>
          </cell>
        </row>
        <row r="100">
          <cell r="C100" t="str">
            <v>Ivan Fernandez Santiago</v>
          </cell>
          <cell r="E100" t="str">
            <v>ZA</v>
          </cell>
          <cell r="F100">
            <v>2</v>
          </cell>
          <cell r="G100">
            <v>2</v>
          </cell>
          <cell r="H100" t="str">
            <v>SR</v>
          </cell>
        </row>
        <row r="101">
          <cell r="C101" t="str">
            <v>Ivan Lopez De Diego</v>
          </cell>
          <cell r="E101" t="str">
            <v>P</v>
          </cell>
          <cell r="F101">
            <v>2</v>
          </cell>
          <cell r="G101">
            <v>2</v>
          </cell>
          <cell r="H101" t="str">
            <v>SR</v>
          </cell>
        </row>
        <row r="102">
          <cell r="C102" t="str">
            <v>Ivan Manuel Fuertes</v>
          </cell>
          <cell r="E102" t="str">
            <v>LE</v>
          </cell>
          <cell r="F102">
            <v>2</v>
          </cell>
          <cell r="G102">
            <v>2</v>
          </cell>
          <cell r="H102" t="str">
            <v>SR</v>
          </cell>
        </row>
        <row r="103">
          <cell r="B103" t="str">
            <v>13171698N</v>
          </cell>
          <cell r="C103" t="str">
            <v>Ivan Salvador Gonzalez</v>
          </cell>
          <cell r="D103">
            <v>1212</v>
          </cell>
          <cell r="E103" t="str">
            <v>BU</v>
          </cell>
          <cell r="F103">
            <v>3</v>
          </cell>
          <cell r="G103">
            <v>3</v>
          </cell>
          <cell r="H103" t="str">
            <v>SR</v>
          </cell>
        </row>
        <row r="104">
          <cell r="B104" t="str">
            <v>45576567C</v>
          </cell>
          <cell r="C104" t="str">
            <v>Ivan Velasco Palomino</v>
          </cell>
          <cell r="D104">
            <v>1274</v>
          </cell>
          <cell r="E104" t="str">
            <v>BU</v>
          </cell>
          <cell r="F104">
            <v>4</v>
          </cell>
          <cell r="G104">
            <v>4</v>
          </cell>
          <cell r="H104" t="str">
            <v>SR</v>
          </cell>
        </row>
        <row r="105">
          <cell r="B105" t="str">
            <v>71305317G</v>
          </cell>
          <cell r="C105" t="str">
            <v>JAIME HERNÁNDEZ BARRIUSO</v>
          </cell>
          <cell r="E105" t="str">
            <v>BU</v>
          </cell>
          <cell r="F105">
            <v>4</v>
          </cell>
          <cell r="G105">
            <v>4</v>
          </cell>
          <cell r="H105" t="str">
            <v>SR</v>
          </cell>
        </row>
        <row r="106">
          <cell r="B106" t="str">
            <v>13092805D</v>
          </cell>
          <cell r="C106" t="str">
            <v>Jaime Hernandez Hortiguela</v>
          </cell>
          <cell r="E106" t="str">
            <v>BU</v>
          </cell>
          <cell r="F106">
            <v>2</v>
          </cell>
          <cell r="G106">
            <v>2</v>
          </cell>
          <cell r="H106" t="str">
            <v>VET</v>
          </cell>
        </row>
        <row r="107">
          <cell r="B107" t="str">
            <v>13122051E</v>
          </cell>
          <cell r="C107" t="str">
            <v>Jaime Ruiz Gonzalez</v>
          </cell>
          <cell r="E107" t="str">
            <v>BU</v>
          </cell>
          <cell r="F107">
            <v>2</v>
          </cell>
          <cell r="G107">
            <v>2</v>
          </cell>
          <cell r="H107" t="str">
            <v>SR</v>
          </cell>
        </row>
        <row r="108">
          <cell r="B108" t="str">
            <v>13165082C</v>
          </cell>
          <cell r="C108" t="str">
            <v>Jairo Garcia Gil</v>
          </cell>
          <cell r="D108">
            <v>2460</v>
          </cell>
          <cell r="E108" t="str">
            <v>BU</v>
          </cell>
          <cell r="F108">
            <v>3</v>
          </cell>
          <cell r="G108">
            <v>3</v>
          </cell>
          <cell r="H108" t="str">
            <v>SR</v>
          </cell>
        </row>
        <row r="109">
          <cell r="B109" t="str">
            <v>44867291H</v>
          </cell>
          <cell r="C109" t="str">
            <v xml:space="preserve">Jaume Mas </v>
          </cell>
          <cell r="D109">
            <v>5856</v>
          </cell>
          <cell r="E109" t="str">
            <v>BU</v>
          </cell>
          <cell r="F109">
            <v>4</v>
          </cell>
          <cell r="G109">
            <v>4</v>
          </cell>
          <cell r="H109" t="str">
            <v>SR</v>
          </cell>
        </row>
        <row r="110">
          <cell r="B110" t="str">
            <v>30610884T</v>
          </cell>
          <cell r="C110" t="str">
            <v>Javier Barona Gonzalez</v>
          </cell>
          <cell r="D110" t="str">
            <v>3603B</v>
          </cell>
          <cell r="E110" t="str">
            <v>BI</v>
          </cell>
          <cell r="F110">
            <v>2</v>
          </cell>
          <cell r="G110">
            <v>2</v>
          </cell>
          <cell r="H110" t="str">
            <v>SR</v>
          </cell>
        </row>
        <row r="111">
          <cell r="B111" t="str">
            <v>71936789B</v>
          </cell>
          <cell r="C111" t="str">
            <v>Javier Diez Cascon</v>
          </cell>
          <cell r="D111">
            <v>2302</v>
          </cell>
          <cell r="E111" t="str">
            <v>P</v>
          </cell>
          <cell r="F111">
            <v>2</v>
          </cell>
          <cell r="G111">
            <v>2</v>
          </cell>
          <cell r="H111" t="str">
            <v>SR</v>
          </cell>
        </row>
        <row r="112">
          <cell r="B112" t="str">
            <v>71933918S</v>
          </cell>
          <cell r="C112" t="str">
            <v>Javier Gil Cordero</v>
          </cell>
          <cell r="E112" t="str">
            <v>BU</v>
          </cell>
        </row>
        <row r="113">
          <cell r="B113" t="str">
            <v>45572861V</v>
          </cell>
          <cell r="C113" t="str">
            <v>Javier Heredero Martin</v>
          </cell>
          <cell r="E113" t="str">
            <v>BU</v>
          </cell>
          <cell r="F113">
            <v>4</v>
          </cell>
          <cell r="G113">
            <v>4</v>
          </cell>
          <cell r="H113" t="str">
            <v>SR</v>
          </cell>
        </row>
        <row r="114">
          <cell r="C114" t="str">
            <v>Javier Lozano</v>
          </cell>
          <cell r="E114" t="str">
            <v>BU</v>
          </cell>
          <cell r="F114">
            <v>4</v>
          </cell>
          <cell r="G114">
            <v>4</v>
          </cell>
          <cell r="H114" t="str">
            <v>SR</v>
          </cell>
        </row>
        <row r="115">
          <cell r="B115" t="str">
            <v>71940380Z</v>
          </cell>
          <cell r="C115" t="str">
            <v>Javier Nieto Perez</v>
          </cell>
          <cell r="E115" t="str">
            <v>P</v>
          </cell>
          <cell r="F115">
            <v>2</v>
          </cell>
          <cell r="G115">
            <v>2</v>
          </cell>
          <cell r="H115" t="str">
            <v>SR</v>
          </cell>
        </row>
        <row r="116">
          <cell r="C116" t="str">
            <v>Javier Panero Gonzalez</v>
          </cell>
          <cell r="E116" t="str">
            <v>LE</v>
          </cell>
          <cell r="F116">
            <v>1</v>
          </cell>
          <cell r="G116">
            <v>1</v>
          </cell>
          <cell r="H116" t="str">
            <v>SR</v>
          </cell>
        </row>
        <row r="117">
          <cell r="B117" t="str">
            <v>44432653B</v>
          </cell>
          <cell r="C117" t="str">
            <v>Javier Soto Barredo</v>
          </cell>
          <cell r="D117">
            <v>2945</v>
          </cell>
          <cell r="E117" t="str">
            <v>LE</v>
          </cell>
          <cell r="F117">
            <v>4</v>
          </cell>
          <cell r="G117">
            <v>4</v>
          </cell>
          <cell r="H117" t="str">
            <v>SR</v>
          </cell>
        </row>
        <row r="118">
          <cell r="B118" t="str">
            <v>16609844A</v>
          </cell>
          <cell r="C118" t="str">
            <v>Jesus Llorente Velasco</v>
          </cell>
          <cell r="D118">
            <v>3049</v>
          </cell>
          <cell r="E118" t="str">
            <v>LO</v>
          </cell>
          <cell r="F118">
            <v>3</v>
          </cell>
          <cell r="G118">
            <v>3</v>
          </cell>
          <cell r="H118" t="str">
            <v>SR</v>
          </cell>
        </row>
        <row r="119">
          <cell r="B119" t="str">
            <v>71518687A</v>
          </cell>
          <cell r="C119" t="str">
            <v>Jesus Manrique Merayo</v>
          </cell>
          <cell r="D119">
            <v>2817</v>
          </cell>
          <cell r="E119" t="str">
            <v>LE</v>
          </cell>
          <cell r="F119">
            <v>3</v>
          </cell>
          <cell r="G119">
            <v>3</v>
          </cell>
          <cell r="H119" t="str">
            <v>SR</v>
          </cell>
        </row>
        <row r="120">
          <cell r="C120" t="str">
            <v>Jesus Maria Unzaga Martin</v>
          </cell>
          <cell r="E120" t="str">
            <v>BI</v>
          </cell>
          <cell r="F120">
            <v>4</v>
          </cell>
          <cell r="H120" t="str">
            <v>SR</v>
          </cell>
        </row>
        <row r="121">
          <cell r="B121" t="str">
            <v>12755878D</v>
          </cell>
          <cell r="C121" t="str">
            <v>Jesus Alvarez Lopez</v>
          </cell>
          <cell r="E121" t="str">
            <v>BU</v>
          </cell>
          <cell r="F121">
            <v>4</v>
          </cell>
          <cell r="G121">
            <v>4</v>
          </cell>
          <cell r="H121" t="str">
            <v>SR</v>
          </cell>
        </row>
        <row r="122">
          <cell r="B122" t="str">
            <v>13157860C</v>
          </cell>
          <cell r="C122" t="str">
            <v>Jesus Puras Perez</v>
          </cell>
          <cell r="E122" t="str">
            <v>BU</v>
          </cell>
          <cell r="F122">
            <v>4</v>
          </cell>
          <cell r="G122">
            <v>4</v>
          </cell>
          <cell r="H122" t="str">
            <v>SR</v>
          </cell>
        </row>
        <row r="123">
          <cell r="B123" t="str">
            <v>71105120E</v>
          </cell>
          <cell r="C123" t="str">
            <v>Joaquin Bengoechea</v>
          </cell>
          <cell r="D123">
            <v>1281</v>
          </cell>
          <cell r="E123" t="str">
            <v>BU</v>
          </cell>
          <cell r="F123">
            <v>2</v>
          </cell>
          <cell r="G123">
            <v>2</v>
          </cell>
          <cell r="H123" t="str">
            <v>SR</v>
          </cell>
        </row>
        <row r="124">
          <cell r="B124" t="str">
            <v>13138900N</v>
          </cell>
          <cell r="C124" t="str">
            <v>Joaquin Santaeufemia Alevia -CAÑITA-</v>
          </cell>
          <cell r="D124">
            <v>1270</v>
          </cell>
          <cell r="E124" t="str">
            <v>BU</v>
          </cell>
          <cell r="F124">
            <v>4</v>
          </cell>
          <cell r="G124">
            <v>4</v>
          </cell>
          <cell r="H124" t="str">
            <v>SR</v>
          </cell>
        </row>
        <row r="125">
          <cell r="B125" t="str">
            <v>71296907N</v>
          </cell>
          <cell r="C125" t="str">
            <v xml:space="preserve">JON KEVIN FAJARDO MELÉNDEZ, </v>
          </cell>
          <cell r="E125" t="str">
            <v>BU</v>
          </cell>
        </row>
        <row r="126">
          <cell r="B126" t="str">
            <v>16628992S</v>
          </cell>
          <cell r="C126" t="str">
            <v>Jonathan Martinez Pinillos</v>
          </cell>
          <cell r="D126">
            <v>3156</v>
          </cell>
          <cell r="E126" t="str">
            <v>LO</v>
          </cell>
          <cell r="F126">
            <v>3</v>
          </cell>
          <cell r="G126">
            <v>3</v>
          </cell>
          <cell r="H126" t="str">
            <v>JR</v>
          </cell>
        </row>
        <row r="127">
          <cell r="B127" t="str">
            <v>13106782W</v>
          </cell>
          <cell r="C127" t="str">
            <v>Jorge Javier Garcia Perez</v>
          </cell>
          <cell r="E127" t="str">
            <v>BU</v>
          </cell>
          <cell r="F127">
            <v>3</v>
          </cell>
          <cell r="G127">
            <v>3</v>
          </cell>
          <cell r="H127" t="str">
            <v>SR</v>
          </cell>
        </row>
        <row r="128">
          <cell r="B128" t="str">
            <v>09327847J</v>
          </cell>
          <cell r="C128" t="str">
            <v>Jorge Juan Roman Garcia</v>
          </cell>
          <cell r="D128">
            <v>5855</v>
          </cell>
          <cell r="E128" t="str">
            <v>BU</v>
          </cell>
          <cell r="F128">
            <v>4</v>
          </cell>
          <cell r="G128">
            <v>4</v>
          </cell>
          <cell r="H128" t="str">
            <v>SR</v>
          </cell>
        </row>
        <row r="129">
          <cell r="B129" t="str">
            <v>71104012H</v>
          </cell>
          <cell r="C129" t="str">
            <v>Jorge Rodrigo Ochoa "J.R."</v>
          </cell>
          <cell r="E129" t="str">
            <v>BU</v>
          </cell>
          <cell r="F129">
            <v>2</v>
          </cell>
          <cell r="G129">
            <v>2</v>
          </cell>
          <cell r="H129" t="str">
            <v>SR</v>
          </cell>
        </row>
        <row r="130">
          <cell r="B130" t="str">
            <v>53559205W</v>
          </cell>
          <cell r="C130" t="str">
            <v>Jose Antonio Fonseca Del Santo</v>
          </cell>
          <cell r="E130" t="str">
            <v>O</v>
          </cell>
          <cell r="F130">
            <v>3</v>
          </cell>
          <cell r="G130">
            <v>3</v>
          </cell>
          <cell r="H130" t="str">
            <v>SR</v>
          </cell>
        </row>
        <row r="131">
          <cell r="B131" t="str">
            <v>71928689F</v>
          </cell>
          <cell r="C131" t="str">
            <v>Jose Antonio Goldar Guerrero</v>
          </cell>
          <cell r="D131">
            <v>2294</v>
          </cell>
          <cell r="E131" t="str">
            <v>P</v>
          </cell>
          <cell r="F131">
            <v>2</v>
          </cell>
          <cell r="G131">
            <v>2</v>
          </cell>
          <cell r="H131" t="str">
            <v>SR</v>
          </cell>
        </row>
        <row r="132">
          <cell r="C132" t="str">
            <v>Jose Antonio Hernando</v>
          </cell>
          <cell r="E132" t="str">
            <v>SG</v>
          </cell>
          <cell r="F132">
            <v>4</v>
          </cell>
          <cell r="G132">
            <v>4</v>
          </cell>
          <cell r="H132" t="str">
            <v>SR</v>
          </cell>
        </row>
        <row r="133">
          <cell r="C133" t="str">
            <v xml:space="preserve">Jose Antonio Martinez </v>
          </cell>
          <cell r="E133" t="str">
            <v>SG</v>
          </cell>
          <cell r="F133">
            <v>4</v>
          </cell>
          <cell r="G133">
            <v>4</v>
          </cell>
          <cell r="H133" t="str">
            <v>SR</v>
          </cell>
        </row>
        <row r="134">
          <cell r="B134" t="str">
            <v>31258129W</v>
          </cell>
          <cell r="C134" t="str">
            <v>Jose Antonio Tirado De La Fuente</v>
          </cell>
          <cell r="D134">
            <v>1239</v>
          </cell>
          <cell r="E134" t="str">
            <v>BU</v>
          </cell>
          <cell r="F134">
            <v>4</v>
          </cell>
          <cell r="G134">
            <v>4</v>
          </cell>
          <cell r="H134" t="str">
            <v>SR</v>
          </cell>
        </row>
        <row r="135">
          <cell r="B135" t="str">
            <v>13727191D</v>
          </cell>
          <cell r="C135" t="str">
            <v>Jose Antonio San Emeterio Diaz</v>
          </cell>
          <cell r="E135" t="str">
            <v>S</v>
          </cell>
          <cell r="F135">
            <v>4</v>
          </cell>
          <cell r="G135">
            <v>4</v>
          </cell>
          <cell r="H135" t="str">
            <v>SR</v>
          </cell>
        </row>
        <row r="136">
          <cell r="C136" t="str">
            <v>Jose Carlos Delgado Martinez</v>
          </cell>
          <cell r="E136" t="str">
            <v>NA</v>
          </cell>
          <cell r="F136">
            <v>3</v>
          </cell>
          <cell r="H136" t="str">
            <v>SR</v>
          </cell>
        </row>
        <row r="137">
          <cell r="B137" t="str">
            <v>14861367D</v>
          </cell>
          <cell r="C137" t="str">
            <v>Jose Carlos Sobrevila Sanchez</v>
          </cell>
          <cell r="E137" t="str">
            <v>BI</v>
          </cell>
          <cell r="F137">
            <v>2</v>
          </cell>
          <cell r="H137" t="str">
            <v>VET</v>
          </cell>
        </row>
        <row r="138">
          <cell r="B138" t="str">
            <v>10509166Y</v>
          </cell>
          <cell r="C138" t="str">
            <v>Jose Enrique Pantiga</v>
          </cell>
          <cell r="E138" t="str">
            <v>O</v>
          </cell>
          <cell r="F138">
            <v>3</v>
          </cell>
          <cell r="H138" t="str">
            <v>VET</v>
          </cell>
        </row>
        <row r="139">
          <cell r="B139" t="str">
            <v>13114622E</v>
          </cell>
          <cell r="C139" t="str">
            <v>Jose Fernando Marin Lazaro</v>
          </cell>
          <cell r="E139" t="str">
            <v>BU</v>
          </cell>
        </row>
        <row r="140">
          <cell r="B140" t="str">
            <v>44397650Z</v>
          </cell>
          <cell r="C140" t="str">
            <v>Jose Francisco Hontecillas Moratalla</v>
          </cell>
          <cell r="E140" t="str">
            <v>CU</v>
          </cell>
          <cell r="F140">
            <v>1</v>
          </cell>
          <cell r="G140">
            <v>1</v>
          </cell>
          <cell r="H140" t="str">
            <v>SR</v>
          </cell>
        </row>
        <row r="141">
          <cell r="B141" t="str">
            <v>4867413Y</v>
          </cell>
          <cell r="C141" t="str">
            <v>Jose Ignacio Larrinaga</v>
          </cell>
          <cell r="E141" t="str">
            <v>BI</v>
          </cell>
          <cell r="F141">
            <v>3</v>
          </cell>
          <cell r="H141" t="str">
            <v>SR</v>
          </cell>
        </row>
        <row r="142">
          <cell r="C142" t="str">
            <v>Jose Javier Ormazabal Aguirremoto</v>
          </cell>
          <cell r="E142" t="str">
            <v>BI</v>
          </cell>
          <cell r="F142">
            <v>4</v>
          </cell>
          <cell r="H142" t="str">
            <v>SR</v>
          </cell>
        </row>
        <row r="143">
          <cell r="B143" t="str">
            <v>13302302E</v>
          </cell>
          <cell r="C143" t="str">
            <v>Jose Luis Arjona Perez</v>
          </cell>
          <cell r="D143">
            <v>1215</v>
          </cell>
          <cell r="E143" t="str">
            <v>BU</v>
          </cell>
          <cell r="F143">
            <v>2</v>
          </cell>
          <cell r="G143">
            <v>1</v>
          </cell>
          <cell r="H143" t="str">
            <v>SR</v>
          </cell>
        </row>
        <row r="144">
          <cell r="B144" t="str">
            <v>78871161K</v>
          </cell>
          <cell r="C144" t="str">
            <v>Jose Luis Beitia Goicolea</v>
          </cell>
          <cell r="D144" t="str">
            <v>0195B</v>
          </cell>
          <cell r="E144" t="str">
            <v>BI</v>
          </cell>
          <cell r="F144">
            <v>3</v>
          </cell>
          <cell r="G144">
            <v>1</v>
          </cell>
          <cell r="H144" t="str">
            <v>SR</v>
          </cell>
        </row>
        <row r="145">
          <cell r="B145" t="str">
            <v>13123927N</v>
          </cell>
          <cell r="C145" t="str">
            <v>Jose Luis Calzada Benito</v>
          </cell>
          <cell r="E145" t="str">
            <v>BU</v>
          </cell>
        </row>
        <row r="146">
          <cell r="B146" t="str">
            <v>16523396N</v>
          </cell>
          <cell r="C146" t="str">
            <v>Jose Luis Medina Martinez</v>
          </cell>
          <cell r="D146" t="str">
            <v>0335A</v>
          </cell>
          <cell r="E146" t="str">
            <v>VI</v>
          </cell>
          <cell r="F146">
            <v>3</v>
          </cell>
          <cell r="G146">
            <v>3</v>
          </cell>
          <cell r="H146" t="str">
            <v>VET</v>
          </cell>
        </row>
        <row r="147">
          <cell r="C147" t="str">
            <v>Jose Luis Medina Martinez</v>
          </cell>
          <cell r="F147">
            <v>3</v>
          </cell>
          <cell r="H147" t="str">
            <v>SR</v>
          </cell>
        </row>
        <row r="148">
          <cell r="B148" t="str">
            <v>45421863S</v>
          </cell>
          <cell r="C148" t="str">
            <v>Jose Luis Miguel "BILLI"</v>
          </cell>
          <cell r="D148">
            <v>1289</v>
          </cell>
          <cell r="E148" t="str">
            <v>SG</v>
          </cell>
          <cell r="F148">
            <v>2</v>
          </cell>
          <cell r="G148">
            <v>2</v>
          </cell>
          <cell r="H148" t="str">
            <v>SR</v>
          </cell>
        </row>
        <row r="149">
          <cell r="B149" t="str">
            <v>71108008N</v>
          </cell>
          <cell r="C149" t="str">
            <v>Jose Luis Sanz</v>
          </cell>
          <cell r="E149" t="str">
            <v>SG</v>
          </cell>
          <cell r="F149">
            <v>1</v>
          </cell>
          <cell r="G149">
            <v>1</v>
          </cell>
          <cell r="H149" t="str">
            <v>SR</v>
          </cell>
        </row>
        <row r="150">
          <cell r="B150" t="str">
            <v>71935158J</v>
          </cell>
          <cell r="C150" t="str">
            <v>Jose Mª Garci Rubio</v>
          </cell>
          <cell r="D150">
            <v>249</v>
          </cell>
          <cell r="E150" t="str">
            <v>P</v>
          </cell>
          <cell r="F150">
            <v>2</v>
          </cell>
          <cell r="G150">
            <v>2</v>
          </cell>
          <cell r="H150" t="str">
            <v>SR</v>
          </cell>
        </row>
        <row r="151">
          <cell r="B151" t="str">
            <v>25588540M</v>
          </cell>
          <cell r="C151" t="str">
            <v>Jose Manuel Fraidias Venegas</v>
          </cell>
          <cell r="D151" t="str">
            <v>0197A</v>
          </cell>
          <cell r="E151" t="str">
            <v>VI</v>
          </cell>
          <cell r="F151">
            <v>4</v>
          </cell>
          <cell r="G151">
            <v>3</v>
          </cell>
          <cell r="H151" t="str">
            <v>SR</v>
          </cell>
        </row>
        <row r="152">
          <cell r="B152" t="str">
            <v>25588540M</v>
          </cell>
          <cell r="C152" t="str">
            <v>Jose Manuel Fraidias Venegas</v>
          </cell>
          <cell r="D152" t="str">
            <v>0197A</v>
          </cell>
          <cell r="E152" t="str">
            <v>VI</v>
          </cell>
          <cell r="F152">
            <v>4</v>
          </cell>
          <cell r="G152">
            <v>3</v>
          </cell>
          <cell r="H152" t="str">
            <v>SR</v>
          </cell>
        </row>
        <row r="153">
          <cell r="B153" t="str">
            <v>71633270T</v>
          </cell>
          <cell r="C153" t="str">
            <v>Jose Manuel Martinez Alvarez</v>
          </cell>
          <cell r="D153">
            <v>3964</v>
          </cell>
          <cell r="E153" t="str">
            <v>O</v>
          </cell>
          <cell r="F153">
            <v>3</v>
          </cell>
          <cell r="G153">
            <v>2</v>
          </cell>
          <cell r="H153" t="str">
            <v>SR</v>
          </cell>
        </row>
        <row r="154">
          <cell r="C154" t="str">
            <v>Jose Manuel Sanchez Calvo</v>
          </cell>
          <cell r="E154" t="str">
            <v>SA</v>
          </cell>
          <cell r="F154">
            <v>3</v>
          </cell>
          <cell r="G154">
            <v>3</v>
          </cell>
          <cell r="H154" t="str">
            <v>SR</v>
          </cell>
        </row>
        <row r="155">
          <cell r="B155" t="str">
            <v>13146874M</v>
          </cell>
          <cell r="C155" t="str">
            <v>Jose Manuel Santos del Cura</v>
          </cell>
          <cell r="E155" t="str">
            <v>BU</v>
          </cell>
        </row>
        <row r="156">
          <cell r="B156" t="str">
            <v>71620702J</v>
          </cell>
          <cell r="C156" t="str">
            <v>Jose Manuel Velasco Solis</v>
          </cell>
          <cell r="E156" t="str">
            <v>O</v>
          </cell>
          <cell r="F156">
            <v>4</v>
          </cell>
          <cell r="G156">
            <v>3</v>
          </cell>
          <cell r="H156" t="str">
            <v>VET</v>
          </cell>
        </row>
        <row r="157">
          <cell r="B157" t="str">
            <v>36914865A</v>
          </cell>
          <cell r="C157" t="str">
            <v>Jose Maria Camarero Navas</v>
          </cell>
          <cell r="D157">
            <v>2373</v>
          </cell>
          <cell r="E157" t="str">
            <v>SO</v>
          </cell>
          <cell r="F157">
            <v>2</v>
          </cell>
          <cell r="G157">
            <v>2</v>
          </cell>
          <cell r="H157" t="str">
            <v>VET</v>
          </cell>
        </row>
        <row r="158">
          <cell r="B158" t="str">
            <v>71935158J</v>
          </cell>
          <cell r="C158" t="str">
            <v>Jose Maria Garci Rubio</v>
          </cell>
          <cell r="D158">
            <v>249</v>
          </cell>
          <cell r="E158" t="str">
            <v>P</v>
          </cell>
          <cell r="F158">
            <v>2</v>
          </cell>
          <cell r="G158">
            <v>2</v>
          </cell>
          <cell r="H158" t="str">
            <v>SR</v>
          </cell>
        </row>
        <row r="159">
          <cell r="B159" t="str">
            <v>16777387Z</v>
          </cell>
          <cell r="C159" t="str">
            <v>Jose Maria Sanz Barrera</v>
          </cell>
          <cell r="D159">
            <v>2386</v>
          </cell>
          <cell r="E159" t="str">
            <v>SO</v>
          </cell>
          <cell r="F159">
            <v>4</v>
          </cell>
          <cell r="G159">
            <v>4</v>
          </cell>
          <cell r="H159" t="str">
            <v>VET</v>
          </cell>
        </row>
        <row r="160">
          <cell r="B160" t="str">
            <v>15153979S</v>
          </cell>
          <cell r="C160" t="str">
            <v>Jose Miguel Nebreda Cuesta</v>
          </cell>
          <cell r="E160" t="str">
            <v>BU</v>
          </cell>
        </row>
        <row r="161">
          <cell r="C161" t="str">
            <v>Jose Miguel Vergara Olea</v>
          </cell>
          <cell r="E161" t="str">
            <v>BI</v>
          </cell>
          <cell r="F161">
            <v>3</v>
          </cell>
          <cell r="H161" t="str">
            <v>VET</v>
          </cell>
        </row>
        <row r="162">
          <cell r="C162" t="str">
            <v>Jose Peral Alvarez</v>
          </cell>
          <cell r="E162" t="str">
            <v>AV</v>
          </cell>
          <cell r="F162">
            <v>3</v>
          </cell>
          <cell r="G162">
            <v>3</v>
          </cell>
          <cell r="H162" t="str">
            <v>SR</v>
          </cell>
        </row>
        <row r="163">
          <cell r="B163" t="str">
            <v>6554327V</v>
          </cell>
          <cell r="C163" t="str">
            <v>Jose Peran Salinas</v>
          </cell>
          <cell r="E163" t="str">
            <v>AV</v>
          </cell>
          <cell r="F163">
            <v>2</v>
          </cell>
          <cell r="G163">
            <v>2</v>
          </cell>
          <cell r="H163" t="str">
            <v>SR</v>
          </cell>
        </row>
        <row r="164">
          <cell r="C164" t="str">
            <v>Jose Perez Gonzalez</v>
          </cell>
          <cell r="E164" t="str">
            <v>SA</v>
          </cell>
          <cell r="F164">
            <v>2</v>
          </cell>
          <cell r="G164">
            <v>2</v>
          </cell>
          <cell r="H164" t="str">
            <v>VET</v>
          </cell>
        </row>
        <row r="165">
          <cell r="C165" t="str">
            <v>Jose Ramon Costales Silva</v>
          </cell>
          <cell r="E165" t="str">
            <v>O</v>
          </cell>
          <cell r="F165">
            <v>3</v>
          </cell>
          <cell r="H165" t="str">
            <v>SR</v>
          </cell>
        </row>
        <row r="166">
          <cell r="B166" t="str">
            <v>13101801N</v>
          </cell>
          <cell r="C166" t="str">
            <v>Jose Roman Madrigal Esteban</v>
          </cell>
          <cell r="E166" t="str">
            <v>BU</v>
          </cell>
          <cell r="F166">
            <v>3</v>
          </cell>
          <cell r="G166">
            <v>3</v>
          </cell>
          <cell r="H166" t="str">
            <v>SR</v>
          </cell>
        </row>
        <row r="167">
          <cell r="B167" t="str">
            <v>13132817R</v>
          </cell>
          <cell r="C167" t="str">
            <v>Jose Tomas Barrio Mayor</v>
          </cell>
          <cell r="D167">
            <v>2450</v>
          </cell>
          <cell r="E167" t="str">
            <v>BU</v>
          </cell>
          <cell r="F167">
            <v>3</v>
          </cell>
          <cell r="G167">
            <v>3</v>
          </cell>
          <cell r="H167" t="str">
            <v>SR</v>
          </cell>
        </row>
        <row r="168">
          <cell r="C168" t="str">
            <v>Josu Mendia Diz</v>
          </cell>
          <cell r="D168" t="str">
            <v>2015A</v>
          </cell>
          <cell r="E168" t="str">
            <v>VI</v>
          </cell>
          <cell r="F168">
            <v>4</v>
          </cell>
          <cell r="G168">
            <v>4</v>
          </cell>
          <cell r="H168" t="str">
            <v>JR</v>
          </cell>
        </row>
        <row r="169">
          <cell r="C169" t="str">
            <v>Juan Alberto Sanz</v>
          </cell>
          <cell r="E169" t="str">
            <v>M</v>
          </cell>
          <cell r="F169">
            <v>4</v>
          </cell>
          <cell r="H169" t="str">
            <v>SR</v>
          </cell>
        </row>
        <row r="170">
          <cell r="C170" t="str">
            <v>Juan Antonio Alonso Martinez</v>
          </cell>
          <cell r="E170" t="str">
            <v>LO</v>
          </cell>
          <cell r="F170">
            <v>3</v>
          </cell>
          <cell r="H170" t="str">
            <v>SR</v>
          </cell>
        </row>
        <row r="171">
          <cell r="C171" t="str">
            <v>Juan Carlos Berrocal Blanco</v>
          </cell>
          <cell r="E171" t="str">
            <v>AV</v>
          </cell>
          <cell r="F171">
            <v>3</v>
          </cell>
          <cell r="G171">
            <v>3</v>
          </cell>
          <cell r="H171" t="str">
            <v>SR</v>
          </cell>
        </row>
        <row r="172">
          <cell r="B172" t="str">
            <v>12747536Q</v>
          </cell>
          <cell r="C172" t="str">
            <v>Juan Carlos Garcia Pellejero</v>
          </cell>
          <cell r="D172">
            <v>2432</v>
          </cell>
          <cell r="E172" t="str">
            <v>BU</v>
          </cell>
          <cell r="F172">
            <v>3</v>
          </cell>
          <cell r="G172">
            <v>3</v>
          </cell>
          <cell r="H172" t="str">
            <v>SR</v>
          </cell>
        </row>
        <row r="173">
          <cell r="B173" t="str">
            <v>71107021Z</v>
          </cell>
          <cell r="C173" t="str">
            <v>Juan Cruz Palacios Antona</v>
          </cell>
          <cell r="E173" t="str">
            <v>BU</v>
          </cell>
        </row>
        <row r="174">
          <cell r="B174" t="str">
            <v>11966865B</v>
          </cell>
          <cell r="C174" t="str">
            <v>Juan Gonzalez Rodriguez</v>
          </cell>
          <cell r="E174" t="str">
            <v>SO</v>
          </cell>
          <cell r="F174">
            <v>1</v>
          </cell>
          <cell r="G174">
            <v>1</v>
          </cell>
          <cell r="H174" t="str">
            <v>SR</v>
          </cell>
        </row>
        <row r="175">
          <cell r="B175" t="str">
            <v>44904793F</v>
          </cell>
          <cell r="C175" t="str">
            <v>Juan Guerra Marcos</v>
          </cell>
          <cell r="D175">
            <v>79</v>
          </cell>
          <cell r="E175" t="str">
            <v>VA</v>
          </cell>
          <cell r="F175">
            <v>3</v>
          </cell>
          <cell r="G175">
            <v>3</v>
          </cell>
          <cell r="H175" t="str">
            <v>SR</v>
          </cell>
        </row>
        <row r="176">
          <cell r="B176" t="str">
            <v>13085224H</v>
          </cell>
          <cell r="C176" t="str">
            <v xml:space="preserve">Juan Jesus Andino Juarros </v>
          </cell>
          <cell r="D176" t="str">
            <v>4234b</v>
          </cell>
          <cell r="E176" t="str">
            <v>BI</v>
          </cell>
          <cell r="F176">
            <v>3</v>
          </cell>
          <cell r="G176">
            <v>3</v>
          </cell>
          <cell r="H176" t="str">
            <v>VET</v>
          </cell>
        </row>
        <row r="177">
          <cell r="B177" t="str">
            <v>6509415R</v>
          </cell>
          <cell r="C177" t="str">
            <v>Juan Jose Muñoz Zamora</v>
          </cell>
          <cell r="D177">
            <v>49</v>
          </cell>
          <cell r="E177" t="str">
            <v>VA</v>
          </cell>
          <cell r="F177">
            <v>3</v>
          </cell>
          <cell r="G177">
            <v>3</v>
          </cell>
          <cell r="H177" t="str">
            <v>VET</v>
          </cell>
        </row>
        <row r="178">
          <cell r="B178" t="str">
            <v>71107508H</v>
          </cell>
          <cell r="C178" t="str">
            <v>Juan Luis Olivella</v>
          </cell>
          <cell r="D178">
            <v>1285</v>
          </cell>
          <cell r="E178" t="str">
            <v>BU</v>
          </cell>
          <cell r="F178">
            <v>3</v>
          </cell>
          <cell r="G178">
            <v>3</v>
          </cell>
          <cell r="H178" t="str">
            <v>SR</v>
          </cell>
        </row>
        <row r="179">
          <cell r="B179" t="str">
            <v>71101237A</v>
          </cell>
          <cell r="C179" t="str">
            <v>Juan Manuel Arranz Rincon</v>
          </cell>
          <cell r="E179" t="str">
            <v>BU</v>
          </cell>
        </row>
        <row r="180">
          <cell r="B180" t="str">
            <v>09745265G</v>
          </cell>
          <cell r="C180" t="str">
            <v>Juan Manuel Fortes Alvarez</v>
          </cell>
          <cell r="D180">
            <v>2588</v>
          </cell>
          <cell r="E180" t="str">
            <v>LE</v>
          </cell>
          <cell r="F180">
            <v>2</v>
          </cell>
          <cell r="G180">
            <v>2</v>
          </cell>
          <cell r="H180" t="str">
            <v>SR</v>
          </cell>
        </row>
        <row r="181">
          <cell r="C181" t="str">
            <v>Juan Pablo Esteban Fernandez</v>
          </cell>
          <cell r="E181" t="str">
            <v>ZA</v>
          </cell>
          <cell r="F181">
            <v>2</v>
          </cell>
          <cell r="G181">
            <v>2</v>
          </cell>
          <cell r="H181" t="str">
            <v>SR</v>
          </cell>
        </row>
        <row r="182">
          <cell r="B182" t="str">
            <v>12361492Q</v>
          </cell>
          <cell r="C182" t="str">
            <v>Juan Pedro Esteban Plaza</v>
          </cell>
          <cell r="E182" t="str">
            <v>BU</v>
          </cell>
        </row>
        <row r="183">
          <cell r="B183" t="str">
            <v>72832874Q</v>
          </cell>
          <cell r="C183" t="str">
            <v>Julen Rodriguez Rafael</v>
          </cell>
          <cell r="D183" t="str">
            <v>1418A</v>
          </cell>
          <cell r="E183" t="str">
            <v>VI</v>
          </cell>
          <cell r="F183">
            <v>3</v>
          </cell>
          <cell r="G183">
            <v>2</v>
          </cell>
          <cell r="H183" t="str">
            <v>SR</v>
          </cell>
        </row>
        <row r="184">
          <cell r="B184" t="str">
            <v>45420768T</v>
          </cell>
          <cell r="C184" t="str">
            <v>Julian Garcia Ortega</v>
          </cell>
          <cell r="E184" t="str">
            <v>BU</v>
          </cell>
          <cell r="F184">
            <v>2</v>
          </cell>
          <cell r="G184">
            <v>2</v>
          </cell>
          <cell r="H184" t="str">
            <v>SR</v>
          </cell>
        </row>
        <row r="185">
          <cell r="B185" t="str">
            <v>13295218E</v>
          </cell>
          <cell r="C185" t="str">
            <v>Julian Narro Martinez</v>
          </cell>
          <cell r="E185" t="str">
            <v>BU</v>
          </cell>
          <cell r="F185">
            <v>2</v>
          </cell>
          <cell r="G185">
            <v>2</v>
          </cell>
          <cell r="H185" t="str">
            <v>SR</v>
          </cell>
        </row>
        <row r="186">
          <cell r="B186" t="str">
            <v>71260690C</v>
          </cell>
          <cell r="C186" t="str">
            <v>Julian Ochoa Bartolome</v>
          </cell>
          <cell r="D186">
            <v>1220</v>
          </cell>
          <cell r="E186" t="str">
            <v>BU</v>
          </cell>
          <cell r="F186">
            <v>2</v>
          </cell>
          <cell r="G186">
            <v>2</v>
          </cell>
          <cell r="H186" t="str">
            <v>SR</v>
          </cell>
        </row>
        <row r="187">
          <cell r="C187" t="str">
            <v>Julio Cesar Martinez Santana</v>
          </cell>
          <cell r="E187" t="str">
            <v>SG</v>
          </cell>
          <cell r="F187">
            <v>2</v>
          </cell>
          <cell r="G187">
            <v>2</v>
          </cell>
          <cell r="H187" t="str">
            <v>SR</v>
          </cell>
        </row>
        <row r="188">
          <cell r="B188" t="str">
            <v>3460568B</v>
          </cell>
          <cell r="C188" t="str">
            <v>Julio Jimenez Alvarez</v>
          </cell>
          <cell r="D188">
            <v>1725</v>
          </cell>
          <cell r="E188" t="str">
            <v>SG</v>
          </cell>
          <cell r="F188">
            <v>1</v>
          </cell>
          <cell r="G188">
            <v>1</v>
          </cell>
          <cell r="H188" t="str">
            <v>SR</v>
          </cell>
        </row>
        <row r="189">
          <cell r="B189" t="str">
            <v>72119854L</v>
          </cell>
          <cell r="C189" t="str">
            <v>Julio Jorrin Mencia</v>
          </cell>
          <cell r="D189">
            <v>2268</v>
          </cell>
          <cell r="E189" t="str">
            <v>P</v>
          </cell>
          <cell r="F189">
            <v>4</v>
          </cell>
          <cell r="H189" t="str">
            <v>VET</v>
          </cell>
        </row>
        <row r="190">
          <cell r="C190" t="str">
            <v>Julio Lamperal Carbajo</v>
          </cell>
          <cell r="E190" t="str">
            <v>ZA</v>
          </cell>
          <cell r="F190">
            <v>1</v>
          </cell>
          <cell r="G190">
            <v>1</v>
          </cell>
          <cell r="H190" t="str">
            <v>SR</v>
          </cell>
        </row>
        <row r="191">
          <cell r="C191" t="str">
            <v>Kiko de Miguel Perales</v>
          </cell>
          <cell r="E191" t="str">
            <v>NA</v>
          </cell>
          <cell r="F191">
            <v>4</v>
          </cell>
          <cell r="H191" t="str">
            <v>SR</v>
          </cell>
        </row>
        <row r="192">
          <cell r="C192" t="str">
            <v>Laureano Alvarez Valderrabano</v>
          </cell>
          <cell r="E192" t="str">
            <v>ZA</v>
          </cell>
          <cell r="F192">
            <v>2</v>
          </cell>
          <cell r="G192">
            <v>2</v>
          </cell>
          <cell r="H192" t="str">
            <v>SR</v>
          </cell>
        </row>
        <row r="193">
          <cell r="B193" t="str">
            <v>71960068Z</v>
          </cell>
          <cell r="C193" t="str">
            <v>Lidia Duarte Cosgaya</v>
          </cell>
          <cell r="D193">
            <v>1214</v>
          </cell>
          <cell r="E193" t="str">
            <v>BU</v>
          </cell>
          <cell r="F193">
            <v>4</v>
          </cell>
          <cell r="G193">
            <v>4</v>
          </cell>
          <cell r="H193" t="str">
            <v>DM</v>
          </cell>
        </row>
        <row r="194">
          <cell r="B194" t="str">
            <v>13144549A</v>
          </cell>
          <cell r="C194" t="str">
            <v>Luis Amo Fernandez</v>
          </cell>
          <cell r="D194">
            <v>2452</v>
          </cell>
          <cell r="E194" t="str">
            <v>BU</v>
          </cell>
          <cell r="F194">
            <v>4</v>
          </cell>
          <cell r="G194">
            <v>4</v>
          </cell>
          <cell r="H194" t="str">
            <v>SR</v>
          </cell>
        </row>
        <row r="195">
          <cell r="B195" t="str">
            <v>4544769S</v>
          </cell>
          <cell r="C195" t="str">
            <v>Luis Chavarria Sevilla</v>
          </cell>
          <cell r="D195">
            <v>6</v>
          </cell>
          <cell r="E195" t="str">
            <v>GU</v>
          </cell>
          <cell r="F195">
            <v>4</v>
          </cell>
          <cell r="G195">
            <v>3</v>
          </cell>
          <cell r="H195" t="str">
            <v>VET</v>
          </cell>
        </row>
        <row r="196">
          <cell r="B196" t="str">
            <v>16780034Q</v>
          </cell>
          <cell r="C196" t="str">
            <v>Luis Corredor Millan</v>
          </cell>
          <cell r="D196">
            <v>2369</v>
          </cell>
          <cell r="E196" t="str">
            <v>SO</v>
          </cell>
          <cell r="F196">
            <v>3</v>
          </cell>
          <cell r="G196">
            <v>3</v>
          </cell>
          <cell r="H196" t="str">
            <v>VET</v>
          </cell>
        </row>
        <row r="197">
          <cell r="B197" t="str">
            <v>53528077Q</v>
          </cell>
          <cell r="C197" t="str">
            <v>Mª Antonia Diaz Cuervo</v>
          </cell>
          <cell r="D197">
            <v>2919</v>
          </cell>
          <cell r="E197" t="str">
            <v>AS</v>
          </cell>
          <cell r="F197">
            <v>3</v>
          </cell>
          <cell r="G197">
            <v>3</v>
          </cell>
          <cell r="H197" t="str">
            <v>DM</v>
          </cell>
        </row>
        <row r="198">
          <cell r="B198" t="str">
            <v>72100483Z</v>
          </cell>
          <cell r="C198" t="str">
            <v>Maikel Piñal Gonzalez</v>
          </cell>
          <cell r="D198">
            <v>1740</v>
          </cell>
          <cell r="E198" t="str">
            <v>BI</v>
          </cell>
          <cell r="F198">
            <v>3</v>
          </cell>
          <cell r="G198">
            <v>3</v>
          </cell>
          <cell r="H198" t="str">
            <v>SR</v>
          </cell>
        </row>
        <row r="199">
          <cell r="B199" t="str">
            <v>9768273N</v>
          </cell>
          <cell r="C199" t="str">
            <v>Manuel Alvarez Gonzalez</v>
          </cell>
          <cell r="D199">
            <v>2781</v>
          </cell>
          <cell r="E199" t="str">
            <v>LE</v>
          </cell>
          <cell r="F199">
            <v>2</v>
          </cell>
          <cell r="G199">
            <v>2</v>
          </cell>
          <cell r="H199" t="str">
            <v>SR</v>
          </cell>
        </row>
        <row r="200">
          <cell r="C200" t="str">
            <v>Manuel Angel Lorenzo Noriega</v>
          </cell>
          <cell r="E200" t="str">
            <v>VA</v>
          </cell>
          <cell r="F200">
            <v>2</v>
          </cell>
          <cell r="G200">
            <v>2</v>
          </cell>
          <cell r="H200" t="str">
            <v>SR</v>
          </cell>
        </row>
        <row r="201">
          <cell r="B201" t="str">
            <v>22702523M</v>
          </cell>
          <cell r="C201" t="str">
            <v>Manuel Barrena Campo</v>
          </cell>
          <cell r="D201" t="str">
            <v>2504B</v>
          </cell>
          <cell r="E201" t="str">
            <v>BI</v>
          </cell>
          <cell r="F201">
            <v>4</v>
          </cell>
          <cell r="G201">
            <v>3</v>
          </cell>
          <cell r="H201" t="str">
            <v>VT</v>
          </cell>
        </row>
        <row r="202">
          <cell r="C202" t="str">
            <v xml:space="preserve">Manuel Jose Carrasco Miranda </v>
          </cell>
          <cell r="E202" t="str">
            <v>SA</v>
          </cell>
          <cell r="F202">
            <v>3</v>
          </cell>
          <cell r="G202">
            <v>3</v>
          </cell>
          <cell r="H202" t="str">
            <v>SR</v>
          </cell>
        </row>
        <row r="203">
          <cell r="B203" t="str">
            <v>46823444K</v>
          </cell>
          <cell r="C203" t="str">
            <v>Manuel Muñoz Pedrosa</v>
          </cell>
          <cell r="D203">
            <v>4628</v>
          </cell>
          <cell r="E203" t="str">
            <v>O</v>
          </cell>
          <cell r="F203">
            <v>2</v>
          </cell>
          <cell r="G203">
            <v>2</v>
          </cell>
          <cell r="H203" t="str">
            <v>SR</v>
          </cell>
        </row>
        <row r="204">
          <cell r="B204" t="str">
            <v>13152974X</v>
          </cell>
          <cell r="C204" t="str">
            <v>Mariano Pardo Gonzalez</v>
          </cell>
          <cell r="D204">
            <v>2465</v>
          </cell>
          <cell r="E204" t="str">
            <v>BU</v>
          </cell>
          <cell r="F204">
            <v>1</v>
          </cell>
          <cell r="G204">
            <v>1</v>
          </cell>
          <cell r="H204" t="str">
            <v>SR</v>
          </cell>
        </row>
        <row r="205">
          <cell r="B205" t="str">
            <v>13172654W</v>
          </cell>
          <cell r="C205" t="str">
            <v>Mario Manzanares Pino</v>
          </cell>
          <cell r="E205" t="str">
            <v>BU</v>
          </cell>
          <cell r="F205">
            <v>3</v>
          </cell>
          <cell r="G205">
            <v>3</v>
          </cell>
          <cell r="H205" t="str">
            <v>SR</v>
          </cell>
        </row>
        <row r="206">
          <cell r="B206" t="str">
            <v>13759125L</v>
          </cell>
          <cell r="C206" t="str">
            <v>Matias Diez Cidad</v>
          </cell>
          <cell r="E206" t="str">
            <v>S</v>
          </cell>
          <cell r="F206">
            <v>3</v>
          </cell>
          <cell r="G206">
            <v>3</v>
          </cell>
          <cell r="H206" t="str">
            <v>SR</v>
          </cell>
        </row>
        <row r="207">
          <cell r="B207" t="str">
            <v>13079769Z</v>
          </cell>
          <cell r="C207" t="str">
            <v>Maximo Ausin Ausin</v>
          </cell>
          <cell r="D207">
            <v>1229</v>
          </cell>
          <cell r="E207" t="str">
            <v>BU</v>
          </cell>
          <cell r="F207">
            <v>4</v>
          </cell>
          <cell r="G207">
            <v>4</v>
          </cell>
          <cell r="H207" t="str">
            <v>VET</v>
          </cell>
        </row>
        <row r="208">
          <cell r="B208" t="str">
            <v>9768138S</v>
          </cell>
          <cell r="C208" t="str">
            <v>Miguel Angel Dominguez Dieguez</v>
          </cell>
          <cell r="D208" t="str">
            <v>0741A</v>
          </cell>
          <cell r="E208" t="str">
            <v>VI</v>
          </cell>
          <cell r="F208">
            <v>4</v>
          </cell>
          <cell r="G208">
            <v>4</v>
          </cell>
          <cell r="H208" t="str">
            <v>SR</v>
          </cell>
        </row>
        <row r="209">
          <cell r="C209" t="str">
            <v>Miguel Angel Pascual Campo</v>
          </cell>
          <cell r="E209" t="str">
            <v>BI</v>
          </cell>
          <cell r="F209">
            <v>4</v>
          </cell>
          <cell r="H209" t="str">
            <v>SR</v>
          </cell>
        </row>
        <row r="210">
          <cell r="B210" t="str">
            <v>12222255D</v>
          </cell>
          <cell r="C210" t="str">
            <v>Miguel Angel Paunero</v>
          </cell>
          <cell r="D210">
            <v>12</v>
          </cell>
          <cell r="E210" t="str">
            <v>VA</v>
          </cell>
          <cell r="F210">
            <v>3</v>
          </cell>
          <cell r="G210">
            <v>3</v>
          </cell>
          <cell r="H210" t="str">
            <v>VET</v>
          </cell>
        </row>
        <row r="211">
          <cell r="B211" t="str">
            <v>13920113F</v>
          </cell>
          <cell r="C211" t="str">
            <v>Miguel Angel Piñal Gutierrez</v>
          </cell>
          <cell r="D211" t="str">
            <v>5582B</v>
          </cell>
          <cell r="E211" t="str">
            <v>BI</v>
          </cell>
          <cell r="F211">
            <v>3</v>
          </cell>
          <cell r="G211">
            <v>3</v>
          </cell>
          <cell r="H211" t="str">
            <v>SR</v>
          </cell>
        </row>
        <row r="212">
          <cell r="C212" t="str">
            <v>Miguel Ortega Escudero</v>
          </cell>
          <cell r="E212" t="str">
            <v>LE</v>
          </cell>
          <cell r="F212">
            <v>2</v>
          </cell>
          <cell r="G212">
            <v>2</v>
          </cell>
          <cell r="H212" t="str">
            <v>SR</v>
          </cell>
        </row>
        <row r="213">
          <cell r="B213" t="str">
            <v>9784904Z</v>
          </cell>
          <cell r="C213" t="str">
            <v>Miguel Ortega Escudero</v>
          </cell>
          <cell r="D213">
            <v>2569</v>
          </cell>
          <cell r="E213" t="str">
            <v>LE</v>
          </cell>
          <cell r="F213">
            <v>2</v>
          </cell>
          <cell r="G213">
            <v>2</v>
          </cell>
          <cell r="H213" t="str">
            <v>SR</v>
          </cell>
        </row>
        <row r="214">
          <cell r="B214" t="str">
            <v>16278406H</v>
          </cell>
          <cell r="C214" t="str">
            <v>Modesto Rodriguez Ibañez</v>
          </cell>
          <cell r="D214" t="str">
            <v>0469A</v>
          </cell>
          <cell r="E214" t="str">
            <v>VI</v>
          </cell>
          <cell r="F214">
            <v>4</v>
          </cell>
          <cell r="G214">
            <v>3</v>
          </cell>
          <cell r="H214" t="str">
            <v>SR</v>
          </cell>
        </row>
        <row r="215">
          <cell r="C215" t="str">
            <v>Nicanor Gonzalez Garcia</v>
          </cell>
          <cell r="E215" t="str">
            <v>O</v>
          </cell>
          <cell r="F215">
            <v>3</v>
          </cell>
          <cell r="H215" t="str">
            <v>SR</v>
          </cell>
        </row>
        <row r="216">
          <cell r="C216" t="str">
            <v>Nicasio Moreno Moreno</v>
          </cell>
          <cell r="E216" t="str">
            <v>BI</v>
          </cell>
          <cell r="F216">
            <v>2</v>
          </cell>
          <cell r="H216" t="str">
            <v>SR</v>
          </cell>
        </row>
        <row r="217">
          <cell r="B217" t="str">
            <v>15950078P</v>
          </cell>
          <cell r="C217" t="str">
            <v>Nicasio Moreno Sanchez</v>
          </cell>
          <cell r="D217" t="str">
            <v>0537G</v>
          </cell>
          <cell r="E217" t="str">
            <v>BI</v>
          </cell>
          <cell r="F217">
            <v>2</v>
          </cell>
          <cell r="G217">
            <v>2</v>
          </cell>
          <cell r="H217" t="str">
            <v>SR</v>
          </cell>
        </row>
        <row r="218">
          <cell r="C218" t="str">
            <v>Nicolas Peña</v>
          </cell>
          <cell r="E218" t="str">
            <v>VA</v>
          </cell>
          <cell r="F218">
            <v>2</v>
          </cell>
          <cell r="G218">
            <v>2</v>
          </cell>
          <cell r="H218" t="str">
            <v>SR</v>
          </cell>
        </row>
        <row r="219">
          <cell r="C219" t="str">
            <v>Norberto</v>
          </cell>
          <cell r="E219" t="str">
            <v>O</v>
          </cell>
          <cell r="F219">
            <v>3</v>
          </cell>
          <cell r="H219" t="str">
            <v>SR</v>
          </cell>
        </row>
        <row r="220">
          <cell r="C220" t="str">
            <v>Oier Macazaga Aseumendi</v>
          </cell>
          <cell r="F220">
            <v>4</v>
          </cell>
          <cell r="H220" t="str">
            <v>SR</v>
          </cell>
        </row>
        <row r="221">
          <cell r="C221" t="str">
            <v>Olmedo Arrieta Fernando</v>
          </cell>
          <cell r="E221" t="str">
            <v>NA</v>
          </cell>
          <cell r="F221">
            <v>3</v>
          </cell>
          <cell r="G221">
            <v>2</v>
          </cell>
          <cell r="H221" t="str">
            <v>VET</v>
          </cell>
        </row>
        <row r="222">
          <cell r="B222" t="str">
            <v>71264338B</v>
          </cell>
          <cell r="C222" t="str">
            <v>Oscar Ramiro Santamaria Garcia</v>
          </cell>
          <cell r="E222" t="str">
            <v>BU</v>
          </cell>
        </row>
        <row r="223">
          <cell r="B223" t="str">
            <v>15249424X</v>
          </cell>
          <cell r="C223" t="str">
            <v>Oscar Ruiz Arbelaiz</v>
          </cell>
          <cell r="D223">
            <v>1222</v>
          </cell>
          <cell r="E223" t="str">
            <v>BU</v>
          </cell>
          <cell r="F223">
            <v>2</v>
          </cell>
          <cell r="G223">
            <v>2</v>
          </cell>
          <cell r="H223" t="str">
            <v>SR</v>
          </cell>
        </row>
        <row r="224">
          <cell r="B224" t="str">
            <v>71931479Z</v>
          </cell>
          <cell r="C224" t="str">
            <v>Oscar Tejedor Fernandez</v>
          </cell>
          <cell r="D224">
            <v>2564</v>
          </cell>
          <cell r="E224" t="str">
            <v>BU</v>
          </cell>
          <cell r="F224">
            <v>3</v>
          </cell>
          <cell r="G224">
            <v>3</v>
          </cell>
          <cell r="H224" t="str">
            <v>SR</v>
          </cell>
        </row>
        <row r="225">
          <cell r="B225" t="str">
            <v>71791809T</v>
          </cell>
          <cell r="C225" t="str">
            <v>Pablo Alonso Delgado</v>
          </cell>
          <cell r="E225" t="str">
            <v>BU</v>
          </cell>
          <cell r="F225">
            <v>4</v>
          </cell>
          <cell r="G225">
            <v>4</v>
          </cell>
          <cell r="H225" t="str">
            <v>JR</v>
          </cell>
        </row>
        <row r="226">
          <cell r="C226" t="str">
            <v>Pablo Astola Madariaga</v>
          </cell>
          <cell r="E226" t="str">
            <v>BI</v>
          </cell>
          <cell r="F226">
            <v>3</v>
          </cell>
          <cell r="G226">
            <v>2</v>
          </cell>
          <cell r="H226" t="str">
            <v>SR</v>
          </cell>
        </row>
        <row r="227">
          <cell r="B227" t="str">
            <v>11314265M</v>
          </cell>
          <cell r="C227" t="str">
            <v>Pablo Javier Quintanilla Garcia</v>
          </cell>
          <cell r="D227">
            <v>1249</v>
          </cell>
          <cell r="E227" t="str">
            <v>BU</v>
          </cell>
          <cell r="F227">
            <v>4</v>
          </cell>
          <cell r="G227">
            <v>4</v>
          </cell>
          <cell r="H227" t="str">
            <v>SR</v>
          </cell>
        </row>
        <row r="228">
          <cell r="C228" t="str">
            <v>Pablo Jorge Pires Dos Santos</v>
          </cell>
          <cell r="E228" t="str">
            <v>BU</v>
          </cell>
          <cell r="F228">
            <v>3</v>
          </cell>
          <cell r="G228">
            <v>3</v>
          </cell>
          <cell r="H228" t="str">
            <v>SR</v>
          </cell>
        </row>
        <row r="229">
          <cell r="B229" t="str">
            <v>13018718M</v>
          </cell>
          <cell r="C229" t="str">
            <v>Pablo Velazquez Delgado</v>
          </cell>
          <cell r="E229" t="str">
            <v>BU</v>
          </cell>
          <cell r="F229">
            <v>4</v>
          </cell>
          <cell r="G229">
            <v>4</v>
          </cell>
          <cell r="H229" t="str">
            <v>VET</v>
          </cell>
        </row>
        <row r="230">
          <cell r="B230" t="str">
            <v>13037400B</v>
          </cell>
          <cell r="C230" t="str">
            <v>Patrocinio Miravalles Juarros</v>
          </cell>
        </row>
        <row r="231">
          <cell r="B231" t="str">
            <v>20208274Z</v>
          </cell>
          <cell r="C231" t="str">
            <v>Pedro Ramos Peña</v>
          </cell>
          <cell r="E231" t="str">
            <v>S</v>
          </cell>
          <cell r="F231">
            <v>3</v>
          </cell>
          <cell r="G231">
            <v>3</v>
          </cell>
          <cell r="H231" t="str">
            <v>SR</v>
          </cell>
        </row>
        <row r="232">
          <cell r="B232" t="str">
            <v>71931028T</v>
          </cell>
          <cell r="C232" t="str">
            <v>Pedro Saez de Abia</v>
          </cell>
          <cell r="E232" t="str">
            <v>VA</v>
          </cell>
          <cell r="F232">
            <v>1</v>
          </cell>
          <cell r="G232">
            <v>1</v>
          </cell>
          <cell r="H232" t="str">
            <v>SR</v>
          </cell>
        </row>
        <row r="233">
          <cell r="C233" t="str">
            <v>Rafael Rodriguez Martin</v>
          </cell>
          <cell r="E233" t="str">
            <v>SA</v>
          </cell>
          <cell r="F233">
            <v>3</v>
          </cell>
          <cell r="G233">
            <v>3</v>
          </cell>
          <cell r="H233" t="str">
            <v>SR</v>
          </cell>
        </row>
        <row r="234">
          <cell r="C234" t="str">
            <v>Rafael Rosado Favero</v>
          </cell>
          <cell r="E234" t="str">
            <v>BU</v>
          </cell>
          <cell r="F234">
            <v>4</v>
          </cell>
          <cell r="G234">
            <v>4</v>
          </cell>
          <cell r="H234" t="str">
            <v>VET</v>
          </cell>
        </row>
        <row r="235">
          <cell r="B235" t="str">
            <v>12726324X</v>
          </cell>
          <cell r="C235" t="str">
            <v>Rafael Sanguino Andres</v>
          </cell>
          <cell r="D235">
            <v>2326</v>
          </cell>
          <cell r="E235" t="str">
            <v>P</v>
          </cell>
          <cell r="F235">
            <v>3</v>
          </cell>
          <cell r="G235">
            <v>3</v>
          </cell>
          <cell r="H235" t="str">
            <v>SR</v>
          </cell>
        </row>
        <row r="236">
          <cell r="B236" t="str">
            <v>45416818Y</v>
          </cell>
          <cell r="C236" t="str">
            <v>Rafael Velasco Santamaria</v>
          </cell>
          <cell r="D236">
            <v>1273</v>
          </cell>
          <cell r="E236" t="str">
            <v>BU</v>
          </cell>
          <cell r="F236">
            <v>2</v>
          </cell>
          <cell r="G236">
            <v>2</v>
          </cell>
          <cell r="H236" t="str">
            <v>SR</v>
          </cell>
        </row>
        <row r="237">
          <cell r="B237" t="str">
            <v>71258873C</v>
          </cell>
          <cell r="C237" t="str">
            <v>Ramon Arranz Iglesias</v>
          </cell>
          <cell r="E237" t="str">
            <v>BU</v>
          </cell>
          <cell r="F237">
            <v>2</v>
          </cell>
          <cell r="G237">
            <v>2</v>
          </cell>
          <cell r="H237" t="str">
            <v>SR</v>
          </cell>
        </row>
        <row r="238">
          <cell r="B238" t="str">
            <v>13075249W</v>
          </cell>
          <cell r="C238" t="str">
            <v>Ramon Martinez Lopez</v>
          </cell>
          <cell r="D238">
            <v>1202</v>
          </cell>
          <cell r="E238" t="str">
            <v>BU</v>
          </cell>
          <cell r="F238">
            <v>4</v>
          </cell>
          <cell r="G238">
            <v>4</v>
          </cell>
          <cell r="H238" t="str">
            <v>VET</v>
          </cell>
        </row>
        <row r="239">
          <cell r="C239" t="str">
            <v>Raquel Perez Rollan</v>
          </cell>
          <cell r="E239" t="str">
            <v>SA</v>
          </cell>
          <cell r="F239">
            <v>2</v>
          </cell>
          <cell r="G239">
            <v>2</v>
          </cell>
          <cell r="H239" t="str">
            <v>DM</v>
          </cell>
        </row>
        <row r="240">
          <cell r="B240" t="str">
            <v>71934620G</v>
          </cell>
          <cell r="C240" t="str">
            <v>Raul Aguado Martin</v>
          </cell>
          <cell r="D240">
            <v>2284</v>
          </cell>
          <cell r="E240" t="str">
            <v>P</v>
          </cell>
          <cell r="F240">
            <v>4</v>
          </cell>
          <cell r="G240">
            <v>4</v>
          </cell>
          <cell r="H240" t="str">
            <v>SR</v>
          </cell>
        </row>
        <row r="241">
          <cell r="B241" t="str">
            <v>13143035F</v>
          </cell>
          <cell r="C241" t="str">
            <v>Raul Alonso</v>
          </cell>
          <cell r="E241" t="str">
            <v>BU</v>
          </cell>
          <cell r="F241">
            <v>4</v>
          </cell>
          <cell r="G241">
            <v>4</v>
          </cell>
          <cell r="H241" t="str">
            <v>SR</v>
          </cell>
        </row>
        <row r="242">
          <cell r="B242" t="str">
            <v>72191347M</v>
          </cell>
          <cell r="C242" t="str">
            <v>Raul Alvarez Pedrejon</v>
          </cell>
          <cell r="D242">
            <v>100</v>
          </cell>
          <cell r="E242" t="str">
            <v>VA</v>
          </cell>
          <cell r="F242">
            <v>1</v>
          </cell>
          <cell r="G242">
            <v>1</v>
          </cell>
          <cell r="H242" t="str">
            <v>SR</v>
          </cell>
        </row>
        <row r="243">
          <cell r="B243" t="str">
            <v>44680789T</v>
          </cell>
          <cell r="C243" t="str">
            <v>Raul Carrasco benitez</v>
          </cell>
          <cell r="D243" t="str">
            <v>1677A</v>
          </cell>
          <cell r="E243" t="str">
            <v>VI</v>
          </cell>
          <cell r="F243">
            <v>4</v>
          </cell>
          <cell r="G243">
            <v>4</v>
          </cell>
          <cell r="H243" t="str">
            <v>SR</v>
          </cell>
        </row>
        <row r="244">
          <cell r="B244" t="str">
            <v>13139467G</v>
          </cell>
          <cell r="C244" t="str">
            <v>Raul Cosgaya Merino</v>
          </cell>
          <cell r="D244">
            <v>1213</v>
          </cell>
          <cell r="E244" t="str">
            <v>BU</v>
          </cell>
          <cell r="F244">
            <v>2</v>
          </cell>
          <cell r="G244">
            <v>2</v>
          </cell>
          <cell r="H244" t="str">
            <v>SR</v>
          </cell>
        </row>
        <row r="245">
          <cell r="B245" t="str">
            <v>13145418K</v>
          </cell>
          <cell r="C245" t="str">
            <v>Raul Escribano Collantes</v>
          </cell>
          <cell r="E245" t="str">
            <v>BU</v>
          </cell>
        </row>
        <row r="246">
          <cell r="C246" t="str">
            <v>Raul Zafra</v>
          </cell>
          <cell r="E246" t="str">
            <v>BU</v>
          </cell>
          <cell r="F246">
            <v>4</v>
          </cell>
          <cell r="G246">
            <v>4</v>
          </cell>
          <cell r="H246" t="str">
            <v>SR</v>
          </cell>
        </row>
        <row r="247">
          <cell r="C247" t="str">
            <v>Restituto Saiz Bustillo</v>
          </cell>
          <cell r="E247" t="str">
            <v>BU</v>
          </cell>
          <cell r="F247">
            <v>2</v>
          </cell>
          <cell r="G247">
            <v>2</v>
          </cell>
          <cell r="H247" t="str">
            <v>VET</v>
          </cell>
        </row>
        <row r="248">
          <cell r="B248" t="str">
            <v>11910577G</v>
          </cell>
          <cell r="C248" t="str">
            <v>Roberto Galbarriatu Pascual</v>
          </cell>
          <cell r="D248" t="str">
            <v>2267B</v>
          </cell>
          <cell r="E248" t="str">
            <v>BI</v>
          </cell>
          <cell r="F248">
            <v>3</v>
          </cell>
          <cell r="G248">
            <v>2</v>
          </cell>
          <cell r="H248" t="str">
            <v>SR</v>
          </cell>
        </row>
        <row r="249">
          <cell r="B249" t="str">
            <v>71296638L</v>
          </cell>
          <cell r="C249" t="str">
            <v>Roberto Garcia Arnaiz</v>
          </cell>
          <cell r="D249">
            <v>2550</v>
          </cell>
          <cell r="E249" t="str">
            <v>BU</v>
          </cell>
          <cell r="F249">
            <v>3</v>
          </cell>
          <cell r="G249">
            <v>3</v>
          </cell>
          <cell r="H249" t="str">
            <v>SR</v>
          </cell>
        </row>
        <row r="250">
          <cell r="C250" t="str">
            <v>Roberto Guerra Garcia</v>
          </cell>
          <cell r="E250" t="str">
            <v>ZA</v>
          </cell>
          <cell r="F250">
            <v>3</v>
          </cell>
          <cell r="G250">
            <v>3</v>
          </cell>
          <cell r="H250" t="str">
            <v>SR</v>
          </cell>
        </row>
        <row r="251">
          <cell r="B251" t="str">
            <v>16776504M</v>
          </cell>
          <cell r="C251" t="str">
            <v>Roberto Morales Galera</v>
          </cell>
          <cell r="D251">
            <v>2351</v>
          </cell>
          <cell r="E251" t="str">
            <v>SO</v>
          </cell>
          <cell r="F251">
            <v>3</v>
          </cell>
          <cell r="G251">
            <v>3</v>
          </cell>
          <cell r="H251" t="str">
            <v>VET</v>
          </cell>
        </row>
        <row r="252">
          <cell r="B252" t="str">
            <v>72884341D</v>
          </cell>
          <cell r="C252" t="str">
            <v>Roberto Morales Seron</v>
          </cell>
          <cell r="D252">
            <v>2366</v>
          </cell>
          <cell r="E252" t="str">
            <v>SO</v>
          </cell>
          <cell r="F252">
            <v>2</v>
          </cell>
          <cell r="G252">
            <v>2</v>
          </cell>
          <cell r="H252" t="str">
            <v>SR</v>
          </cell>
        </row>
        <row r="253">
          <cell r="B253" t="str">
            <v>13164091H</v>
          </cell>
          <cell r="C253" t="str">
            <v>Roberto Santamaria Alonso</v>
          </cell>
          <cell r="E253" t="str">
            <v>BU</v>
          </cell>
          <cell r="F253">
            <v>3</v>
          </cell>
          <cell r="G253">
            <v>3</v>
          </cell>
          <cell r="H253" t="str">
            <v>SR</v>
          </cell>
        </row>
        <row r="254">
          <cell r="C254" t="str">
            <v>Rodrigo Asenso Camin</v>
          </cell>
          <cell r="E254" t="str">
            <v>NA</v>
          </cell>
          <cell r="F254">
            <v>3</v>
          </cell>
          <cell r="H254" t="str">
            <v>SR</v>
          </cell>
        </row>
        <row r="255">
          <cell r="B255" t="str">
            <v>13165081L</v>
          </cell>
          <cell r="C255" t="str">
            <v>Rodrigo Garcia Gil</v>
          </cell>
          <cell r="D255">
            <v>2322</v>
          </cell>
          <cell r="E255" t="str">
            <v>P</v>
          </cell>
          <cell r="F255">
            <v>4</v>
          </cell>
          <cell r="G255">
            <v>4</v>
          </cell>
          <cell r="H255" t="str">
            <v>SR</v>
          </cell>
        </row>
        <row r="256">
          <cell r="C256" t="str">
            <v>Rogelio Anta Perez</v>
          </cell>
          <cell r="D256">
            <v>26</v>
          </cell>
          <cell r="E256" t="str">
            <v>VA</v>
          </cell>
          <cell r="F256">
            <v>2</v>
          </cell>
          <cell r="G256">
            <v>2</v>
          </cell>
          <cell r="H256" t="str">
            <v>SR</v>
          </cell>
        </row>
        <row r="257">
          <cell r="B257" t="str">
            <v>3426132E</v>
          </cell>
          <cell r="C257" t="str">
            <v>Rogelio Antonio Villanueva</v>
          </cell>
          <cell r="D257">
            <v>4613</v>
          </cell>
          <cell r="E257" t="str">
            <v>AS</v>
          </cell>
          <cell r="F257">
            <v>2</v>
          </cell>
          <cell r="G257">
            <v>2</v>
          </cell>
          <cell r="H257" t="str">
            <v>SR</v>
          </cell>
        </row>
        <row r="258">
          <cell r="B258" t="str">
            <v>71273592L</v>
          </cell>
          <cell r="C258" t="str">
            <v>Ruben Albillos Gonzalez</v>
          </cell>
          <cell r="D258">
            <v>2542</v>
          </cell>
          <cell r="E258" t="str">
            <v>BU</v>
          </cell>
          <cell r="F258">
            <v>2</v>
          </cell>
          <cell r="G258">
            <v>2</v>
          </cell>
          <cell r="H258" t="str">
            <v>SR</v>
          </cell>
        </row>
        <row r="259">
          <cell r="B259" t="str">
            <v>71263139P</v>
          </cell>
          <cell r="C259" t="str">
            <v>Ruben Alonso Izquierdo</v>
          </cell>
          <cell r="D259">
            <v>1224</v>
          </cell>
          <cell r="E259" t="str">
            <v>BU</v>
          </cell>
          <cell r="F259">
            <v>3</v>
          </cell>
          <cell r="G259">
            <v>3</v>
          </cell>
          <cell r="H259" t="str">
            <v>SR</v>
          </cell>
        </row>
        <row r="260">
          <cell r="C260" t="str">
            <v>Ruben Berrocal Esteban</v>
          </cell>
          <cell r="E260" t="str">
            <v>AV</v>
          </cell>
          <cell r="F260">
            <v>4</v>
          </cell>
          <cell r="G260">
            <v>4</v>
          </cell>
          <cell r="H260" t="str">
            <v>SR</v>
          </cell>
        </row>
        <row r="261">
          <cell r="B261" t="str">
            <v>71107759Q</v>
          </cell>
          <cell r="C261" t="str">
            <v>Ruben Gonzalez Crespo</v>
          </cell>
          <cell r="E261" t="str">
            <v>BU</v>
          </cell>
        </row>
        <row r="262">
          <cell r="B262" t="str">
            <v>9806794P</v>
          </cell>
          <cell r="C262" t="str">
            <v>Salvador Reguera Rodriguez</v>
          </cell>
          <cell r="D262">
            <v>2981</v>
          </cell>
          <cell r="E262" t="str">
            <v>LE</v>
          </cell>
          <cell r="F262">
            <v>2</v>
          </cell>
          <cell r="G262">
            <v>2</v>
          </cell>
          <cell r="H262" t="str">
            <v>SR</v>
          </cell>
        </row>
        <row r="263">
          <cell r="B263" t="str">
            <v>12759918R</v>
          </cell>
          <cell r="C263" t="str">
            <v>Satiago Madrigal Gomez</v>
          </cell>
          <cell r="D263">
            <v>2299</v>
          </cell>
          <cell r="E263" t="str">
            <v>P</v>
          </cell>
          <cell r="F263">
            <v>2</v>
          </cell>
          <cell r="G263">
            <v>2</v>
          </cell>
          <cell r="H263" t="str">
            <v>SR</v>
          </cell>
        </row>
        <row r="264">
          <cell r="B264" t="str">
            <v>45418784V</v>
          </cell>
          <cell r="C264" t="str">
            <v xml:space="preserve">Sebastian de Ribera Guillen </v>
          </cell>
          <cell r="E264" t="str">
            <v>BU</v>
          </cell>
        </row>
        <row r="265">
          <cell r="C265" t="str">
            <v>Sergio Bayo Arroyave</v>
          </cell>
          <cell r="E265" t="str">
            <v>NA</v>
          </cell>
          <cell r="F265">
            <v>4</v>
          </cell>
          <cell r="G265">
            <v>3</v>
          </cell>
          <cell r="H265" t="str">
            <v>JR</v>
          </cell>
        </row>
        <row r="266">
          <cell r="B266" t="str">
            <v>12782230A</v>
          </cell>
          <cell r="C266" t="str">
            <v>Sergio Noriega Primo</v>
          </cell>
          <cell r="E266" t="str">
            <v>BU</v>
          </cell>
        </row>
        <row r="267">
          <cell r="C267" t="str">
            <v>Sergio Villazañe</v>
          </cell>
          <cell r="E267" t="str">
            <v>VA</v>
          </cell>
          <cell r="F267">
            <v>3</v>
          </cell>
          <cell r="G267">
            <v>3</v>
          </cell>
          <cell r="H267" t="str">
            <v>SR</v>
          </cell>
        </row>
        <row r="268">
          <cell r="B268" t="str">
            <v>13114409Q</v>
          </cell>
          <cell r="C268" t="str">
            <v>Teodoro Sanz de Sebastian</v>
          </cell>
          <cell r="E268" t="str">
            <v>BU</v>
          </cell>
          <cell r="F268">
            <v>4</v>
          </cell>
          <cell r="G268">
            <v>4</v>
          </cell>
          <cell r="H268" t="str">
            <v>SR</v>
          </cell>
        </row>
        <row r="269">
          <cell r="B269" t="str">
            <v>52414302Q</v>
          </cell>
          <cell r="C269" t="str">
            <v>Tomas Casado Hernandez</v>
          </cell>
          <cell r="D269">
            <v>1203</v>
          </cell>
          <cell r="E269" t="str">
            <v>BU</v>
          </cell>
          <cell r="F269">
            <v>2</v>
          </cell>
          <cell r="G269">
            <v>2</v>
          </cell>
          <cell r="H269" t="str">
            <v>SR</v>
          </cell>
        </row>
        <row r="270">
          <cell r="C270" t="str">
            <v>Tomas Garcia Montero</v>
          </cell>
          <cell r="E270" t="str">
            <v>SA</v>
          </cell>
          <cell r="F270">
            <v>3</v>
          </cell>
          <cell r="G270">
            <v>3</v>
          </cell>
          <cell r="H270" t="str">
            <v>SR</v>
          </cell>
        </row>
        <row r="271">
          <cell r="C271" t="str">
            <v>Tomas Martinez Alvarez</v>
          </cell>
          <cell r="E271" t="str">
            <v>VA</v>
          </cell>
          <cell r="F271">
            <v>3</v>
          </cell>
          <cell r="G271">
            <v>3</v>
          </cell>
          <cell r="H271" t="str">
            <v>SR</v>
          </cell>
        </row>
        <row r="272">
          <cell r="B272" t="str">
            <v>13140327J</v>
          </cell>
          <cell r="C272" t="str">
            <v>Tomas Velasco Velasco</v>
          </cell>
          <cell r="E272" t="str">
            <v>BU</v>
          </cell>
          <cell r="H272" t="str">
            <v>SR</v>
          </cell>
        </row>
        <row r="273">
          <cell r="C273" t="str">
            <v>Unai Landeta Zarate</v>
          </cell>
          <cell r="E273" t="str">
            <v>BI</v>
          </cell>
          <cell r="F273">
            <v>3</v>
          </cell>
          <cell r="G273">
            <v>2</v>
          </cell>
          <cell r="H273" t="str">
            <v>VET</v>
          </cell>
        </row>
        <row r="274">
          <cell r="B274" t="str">
            <v>30617605M</v>
          </cell>
          <cell r="C274" t="str">
            <v>Unai Loyola Yurrebaso</v>
          </cell>
          <cell r="D274" t="str">
            <v>2603B</v>
          </cell>
          <cell r="E274" t="str">
            <v>BI</v>
          </cell>
          <cell r="F274">
            <v>3</v>
          </cell>
          <cell r="G274">
            <v>3</v>
          </cell>
          <cell r="H274" t="str">
            <v>SR</v>
          </cell>
        </row>
        <row r="275">
          <cell r="B275" t="str">
            <v>13167260J</v>
          </cell>
          <cell r="C275" t="str">
            <v>Valentin Gutierrez Martin</v>
          </cell>
          <cell r="E275" t="str">
            <v>BU</v>
          </cell>
        </row>
        <row r="276">
          <cell r="B276" t="str">
            <v>71928454W</v>
          </cell>
          <cell r="C276" t="str">
            <v>Veronica Nieto Ruiz</v>
          </cell>
          <cell r="D276">
            <v>2303</v>
          </cell>
          <cell r="E276" t="str">
            <v>P</v>
          </cell>
          <cell r="F276">
            <v>2</v>
          </cell>
          <cell r="G276">
            <v>2</v>
          </cell>
          <cell r="H276" t="str">
            <v>DM</v>
          </cell>
        </row>
        <row r="277">
          <cell r="C277" t="str">
            <v>Vicente Guerra</v>
          </cell>
          <cell r="E277" t="str">
            <v>P</v>
          </cell>
          <cell r="F277">
            <v>4</v>
          </cell>
          <cell r="G277">
            <v>4</v>
          </cell>
          <cell r="H277" t="str">
            <v>SR</v>
          </cell>
        </row>
        <row r="278">
          <cell r="B278" t="str">
            <v>71108725Q</v>
          </cell>
          <cell r="C278" t="str">
            <v>VÍCTOR BENGOECHEA CALPE</v>
          </cell>
          <cell r="E278" t="str">
            <v>BU</v>
          </cell>
        </row>
        <row r="279">
          <cell r="C279" t="str">
            <v>Victor Díaz Martin</v>
          </cell>
          <cell r="E279" t="str">
            <v>BI</v>
          </cell>
          <cell r="F279">
            <v>4</v>
          </cell>
          <cell r="G279">
            <v>4</v>
          </cell>
          <cell r="H279" t="str">
            <v>SR</v>
          </cell>
        </row>
        <row r="280">
          <cell r="B280" t="str">
            <v>17123171Q</v>
          </cell>
          <cell r="C280" t="str">
            <v>Victor Gonzalez Serrano</v>
          </cell>
          <cell r="D280">
            <v>2356</v>
          </cell>
          <cell r="E280" t="str">
            <v>SO</v>
          </cell>
          <cell r="F280">
            <v>2</v>
          </cell>
          <cell r="G280">
            <v>2</v>
          </cell>
          <cell r="H280" t="str">
            <v>VET</v>
          </cell>
        </row>
        <row r="281">
          <cell r="B281" t="str">
            <v>71106847R</v>
          </cell>
          <cell r="C281" t="str">
            <v>Victor Izquierdo</v>
          </cell>
          <cell r="D281">
            <v>1727</v>
          </cell>
          <cell r="E281" t="str">
            <v>SG</v>
          </cell>
          <cell r="F281">
            <v>2</v>
          </cell>
          <cell r="G281">
            <v>2</v>
          </cell>
          <cell r="H281" t="str">
            <v>SR</v>
          </cell>
        </row>
        <row r="282">
          <cell r="B282" t="str">
            <v>9780098S</v>
          </cell>
          <cell r="C282" t="str">
            <v>Victor Manuel Perez Leon</v>
          </cell>
          <cell r="D282">
            <v>2572</v>
          </cell>
          <cell r="E282" t="str">
            <v>LE</v>
          </cell>
          <cell r="F282">
            <v>2</v>
          </cell>
          <cell r="G282">
            <v>2</v>
          </cell>
          <cell r="H282" t="str">
            <v>SR</v>
          </cell>
        </row>
        <row r="283">
          <cell r="C283" t="str">
            <v>Victor Perez Leon</v>
          </cell>
          <cell r="E283" t="str">
            <v>LE</v>
          </cell>
          <cell r="F283">
            <v>2</v>
          </cell>
          <cell r="G283">
            <v>2</v>
          </cell>
          <cell r="H283" t="str">
            <v>SR</v>
          </cell>
        </row>
        <row r="284">
          <cell r="B284" t="str">
            <v>13098279D</v>
          </cell>
          <cell r="C284" t="str">
            <v>Vidal Calvo Elena</v>
          </cell>
          <cell r="E284" t="str">
            <v>BU</v>
          </cell>
          <cell r="F284">
            <v>3</v>
          </cell>
          <cell r="G284">
            <v>3</v>
          </cell>
          <cell r="H284" t="str">
            <v>SR</v>
          </cell>
        </row>
        <row r="285">
          <cell r="B285" t="str">
            <v>78876866E</v>
          </cell>
          <cell r="C285" t="str">
            <v>Xabier Etebarria Orozko</v>
          </cell>
          <cell r="D285" t="str">
            <v>1451B</v>
          </cell>
          <cell r="E285" t="str">
            <v>BI</v>
          </cell>
          <cell r="F285">
            <v>3</v>
          </cell>
          <cell r="G285">
            <v>2</v>
          </cell>
          <cell r="H285" t="str">
            <v>SR</v>
          </cell>
        </row>
        <row r="286">
          <cell r="B286" t="str">
            <v>72443835E</v>
          </cell>
          <cell r="C286" t="str">
            <v>Xavier Azpeitia Beguiristain</v>
          </cell>
          <cell r="E286" t="str">
            <v>BI</v>
          </cell>
          <cell r="F286">
            <v>1</v>
          </cell>
          <cell r="G286">
            <v>1</v>
          </cell>
          <cell r="H286" t="str">
            <v>SR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73D324C-809A-4EF5-9619-BD341249F0AF}">
  <we:reference id="wa200000142" version="1.0.0.0" store="es-ES" storeType="OMEX"/>
  <we:alternateReferences>
    <we:reference id="WA200000142" version="1.0.0.0" store="WA200000142" storeType="OMEX"/>
  </we:alternateReferences>
  <we:properties>
    <we:property name="worksheetIds" value="&quot;{\&quot;{00000000-0001-0000-0100-000000000000}\&quot;:\&quot;cb7534e6-b8a9-4f7b-ac57-a92f4a687694\&quot;,\&quot;{00000000-0001-0000-0200-000000000000}\&quot;:\&quot;6ad62880-c493-4cc5-8456-f037f063c0bf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2778A703-EAB7-42F8-88DF-1FC4DEC7D5A3}">
  <we:reference id="wa200005502" version="1.0.0.11" store="en-US" storeType="OMEX"/>
  <we:alternateReferences>
    <we:reference id="WA200005502" version="1.0.0.11" store="" storeType="OMEX"/>
  </we:alternateReferences>
  <we:properties>
    <we:property name="docId" value="&quot;vT1UYwn4dBoriwTstnYDv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I53"/>
  <sheetViews>
    <sheetView topLeftCell="A10" zoomScaleSheetLayoutView="105" workbookViewId="0">
      <selection activeCell="C45" sqref="C45"/>
    </sheetView>
  </sheetViews>
  <sheetFormatPr baseColWidth="10" defaultColWidth="11.42578125" defaultRowHeight="12.75" x14ac:dyDescent="0.2"/>
  <cols>
    <col min="3" max="3" width="17.5703125" bestFit="1" customWidth="1"/>
    <col min="4" max="4" width="1.5703125" customWidth="1"/>
    <col min="9" max="9" width="11.42578125" style="1"/>
  </cols>
  <sheetData>
    <row r="1" spans="2:7" ht="13.5" thickBot="1" x14ac:dyDescent="0.25"/>
    <row r="2" spans="2:7" x14ac:dyDescent="0.2">
      <c r="B2" s="11" t="s">
        <v>0</v>
      </c>
      <c r="C2" s="12" t="s">
        <v>1</v>
      </c>
      <c r="E2" s="8" t="s">
        <v>2</v>
      </c>
      <c r="F2" s="9" t="s">
        <v>3</v>
      </c>
      <c r="G2" s="10" t="s">
        <v>4</v>
      </c>
    </row>
    <row r="3" spans="2:7" x14ac:dyDescent="0.2">
      <c r="B3" s="13" t="s">
        <v>78</v>
      </c>
      <c r="C3" s="14" t="s">
        <v>79</v>
      </c>
      <c r="E3" s="4">
        <v>1</v>
      </c>
      <c r="F3" s="5">
        <v>1</v>
      </c>
      <c r="G3" s="2" t="s">
        <v>7</v>
      </c>
    </row>
    <row r="4" spans="2:7" x14ac:dyDescent="0.2">
      <c r="B4" s="13" t="s">
        <v>44</v>
      </c>
      <c r="C4" s="14" t="s">
        <v>45</v>
      </c>
      <c r="E4" s="4">
        <v>2</v>
      </c>
      <c r="F4" s="5">
        <v>2</v>
      </c>
      <c r="G4" s="2" t="s">
        <v>10</v>
      </c>
    </row>
    <row r="5" spans="2:7" x14ac:dyDescent="0.2">
      <c r="B5" s="13" t="s">
        <v>5</v>
      </c>
      <c r="C5" s="14" t="s">
        <v>6</v>
      </c>
      <c r="E5" s="4">
        <v>3</v>
      </c>
      <c r="F5" s="5">
        <v>3</v>
      </c>
      <c r="G5" s="2" t="s">
        <v>13</v>
      </c>
    </row>
    <row r="6" spans="2:7" ht="13.5" thickBot="1" x14ac:dyDescent="0.25">
      <c r="B6" s="13" t="s">
        <v>80</v>
      </c>
      <c r="C6" s="14" t="s">
        <v>81</v>
      </c>
      <c r="E6" s="6">
        <v>4</v>
      </c>
      <c r="F6" s="7">
        <v>4</v>
      </c>
      <c r="G6" s="3" t="s">
        <v>16</v>
      </c>
    </row>
    <row r="7" spans="2:7" ht="13.5" thickBot="1" x14ac:dyDescent="0.25">
      <c r="B7" s="13" t="s">
        <v>82</v>
      </c>
      <c r="C7" s="14" t="s">
        <v>83</v>
      </c>
      <c r="F7" s="7" t="s">
        <v>19</v>
      </c>
    </row>
    <row r="8" spans="2:7" x14ac:dyDescent="0.2">
      <c r="B8" s="13" t="s">
        <v>8</v>
      </c>
      <c r="C8" s="14" t="s">
        <v>9</v>
      </c>
    </row>
    <row r="9" spans="2:7" x14ac:dyDescent="0.2">
      <c r="B9" s="13" t="s">
        <v>76</v>
      </c>
      <c r="C9" s="14" t="s">
        <v>77</v>
      </c>
    </row>
    <row r="10" spans="2:7" x14ac:dyDescent="0.2">
      <c r="B10" s="13" t="s">
        <v>11</v>
      </c>
      <c r="C10" s="14" t="s">
        <v>12</v>
      </c>
    </row>
    <row r="11" spans="2:7" x14ac:dyDescent="0.2">
      <c r="B11" s="13" t="s">
        <v>88</v>
      </c>
      <c r="C11" s="14" t="s">
        <v>89</v>
      </c>
    </row>
    <row r="12" spans="2:7" x14ac:dyDescent="0.2">
      <c r="B12" s="13" t="s">
        <v>84</v>
      </c>
      <c r="C12" s="14" t="s">
        <v>85</v>
      </c>
    </row>
    <row r="13" spans="2:7" x14ac:dyDescent="0.2">
      <c r="B13" s="13" t="s">
        <v>50</v>
      </c>
      <c r="C13" s="14" t="s">
        <v>51</v>
      </c>
    </row>
    <row r="14" spans="2:7" x14ac:dyDescent="0.2">
      <c r="B14" s="13" t="s">
        <v>86</v>
      </c>
      <c r="C14" s="14" t="s">
        <v>87</v>
      </c>
    </row>
    <row r="15" spans="2:7" x14ac:dyDescent="0.2">
      <c r="B15" s="13" t="s">
        <v>54</v>
      </c>
      <c r="C15" s="14" t="s">
        <v>55</v>
      </c>
    </row>
    <row r="16" spans="2:7" x14ac:dyDescent="0.2">
      <c r="B16" s="13" t="s">
        <v>17</v>
      </c>
      <c r="C16" s="14" t="s">
        <v>18</v>
      </c>
    </row>
    <row r="17" spans="2:7" x14ac:dyDescent="0.2">
      <c r="B17" s="13" t="s">
        <v>52</v>
      </c>
      <c r="C17" s="14" t="s">
        <v>53</v>
      </c>
    </row>
    <row r="18" spans="2:7" x14ac:dyDescent="0.2">
      <c r="B18" s="13" t="s">
        <v>20</v>
      </c>
      <c r="C18" s="14" t="s">
        <v>21</v>
      </c>
    </row>
    <row r="19" spans="2:7" x14ac:dyDescent="0.2">
      <c r="B19" s="13" t="s">
        <v>32</v>
      </c>
      <c r="C19" s="14" t="s">
        <v>33</v>
      </c>
      <c r="D19" s="18"/>
      <c r="E19" s="17"/>
      <c r="F19" s="18"/>
      <c r="G19" s="17"/>
    </row>
    <row r="20" spans="2:7" x14ac:dyDescent="0.2">
      <c r="B20" s="13" t="s">
        <v>56</v>
      </c>
      <c r="C20" s="14" t="s">
        <v>57</v>
      </c>
    </row>
    <row r="21" spans="2:7" x14ac:dyDescent="0.2">
      <c r="B21" s="13" t="s">
        <v>90</v>
      </c>
      <c r="C21" s="14" t="s">
        <v>91</v>
      </c>
    </row>
    <row r="22" spans="2:7" x14ac:dyDescent="0.2">
      <c r="B22" s="13" t="s">
        <v>22</v>
      </c>
      <c r="C22" s="14" t="s">
        <v>23</v>
      </c>
    </row>
    <row r="23" spans="2:7" x14ac:dyDescent="0.2">
      <c r="B23" s="13" t="s">
        <v>92</v>
      </c>
      <c r="C23" s="14" t="s">
        <v>93</v>
      </c>
    </row>
    <row r="24" spans="2:7" x14ac:dyDescent="0.2">
      <c r="B24" s="13" t="s">
        <v>24</v>
      </c>
      <c r="C24" s="14" t="s">
        <v>25</v>
      </c>
    </row>
    <row r="25" spans="2:7" x14ac:dyDescent="0.2">
      <c r="B25" s="13" t="s">
        <v>48</v>
      </c>
      <c r="C25" s="14" t="s">
        <v>49</v>
      </c>
    </row>
    <row r="26" spans="2:7" x14ac:dyDescent="0.2">
      <c r="B26" s="13" t="s">
        <v>60</v>
      </c>
      <c r="C26" s="14" t="s">
        <v>61</v>
      </c>
    </row>
    <row r="27" spans="2:7" x14ac:dyDescent="0.2">
      <c r="B27" s="13" t="s">
        <v>26</v>
      </c>
      <c r="C27" s="14" t="s">
        <v>27</v>
      </c>
    </row>
    <row r="28" spans="2:7" x14ac:dyDescent="0.2">
      <c r="B28" s="13" t="s">
        <v>94</v>
      </c>
      <c r="C28" s="14" t="s">
        <v>95</v>
      </c>
    </row>
    <row r="29" spans="2:7" x14ac:dyDescent="0.2">
      <c r="B29" s="13" t="s">
        <v>102</v>
      </c>
      <c r="C29" s="14" t="s">
        <v>103</v>
      </c>
    </row>
    <row r="30" spans="2:7" x14ac:dyDescent="0.2">
      <c r="B30" s="13" t="s">
        <v>62</v>
      </c>
      <c r="C30" s="14" t="s">
        <v>63</v>
      </c>
    </row>
    <row r="31" spans="2:7" x14ac:dyDescent="0.2">
      <c r="B31" s="13" t="s">
        <v>96</v>
      </c>
      <c r="C31" s="14" t="s">
        <v>97</v>
      </c>
    </row>
    <row r="32" spans="2:7" x14ac:dyDescent="0.2">
      <c r="B32" s="13" t="s">
        <v>28</v>
      </c>
      <c r="C32" s="14" t="s">
        <v>29</v>
      </c>
    </row>
    <row r="33" spans="2:3" x14ac:dyDescent="0.2">
      <c r="B33" s="13" t="s">
        <v>64</v>
      </c>
      <c r="C33" s="14" t="s">
        <v>65</v>
      </c>
    </row>
    <row r="34" spans="2:3" x14ac:dyDescent="0.2">
      <c r="B34" s="13" t="s">
        <v>98</v>
      </c>
      <c r="C34" s="14" t="s">
        <v>99</v>
      </c>
    </row>
    <row r="35" spans="2:3" x14ac:dyDescent="0.2">
      <c r="B35" s="13" t="s">
        <v>30</v>
      </c>
      <c r="C35" s="14" t="s">
        <v>31</v>
      </c>
    </row>
    <row r="36" spans="2:3" x14ac:dyDescent="0.2">
      <c r="B36" s="13" t="s">
        <v>46</v>
      </c>
      <c r="C36" s="14" t="s">
        <v>47</v>
      </c>
    </row>
    <row r="37" spans="2:3" x14ac:dyDescent="0.2">
      <c r="B37" s="13" t="s">
        <v>66</v>
      </c>
      <c r="C37" s="14" t="s">
        <v>67</v>
      </c>
    </row>
    <row r="38" spans="2:3" x14ac:dyDescent="0.2">
      <c r="B38" s="13" t="s">
        <v>100</v>
      </c>
      <c r="C38" s="14" t="s">
        <v>101</v>
      </c>
    </row>
    <row r="39" spans="2:3" x14ac:dyDescent="0.2">
      <c r="B39" s="13" t="s">
        <v>68</v>
      </c>
      <c r="C39" s="14" t="s">
        <v>69</v>
      </c>
    </row>
    <row r="40" spans="2:3" x14ac:dyDescent="0.2">
      <c r="B40" s="13" t="s">
        <v>14</v>
      </c>
      <c r="C40" s="14" t="s">
        <v>15</v>
      </c>
    </row>
    <row r="41" spans="2:3" x14ac:dyDescent="0.2">
      <c r="B41" s="13" t="s">
        <v>34</v>
      </c>
      <c r="C41" s="14" t="s">
        <v>35</v>
      </c>
    </row>
    <row r="42" spans="2:3" x14ac:dyDescent="0.2">
      <c r="B42" s="13" t="s">
        <v>104</v>
      </c>
      <c r="C42" s="14" t="s">
        <v>105</v>
      </c>
    </row>
    <row r="43" spans="2:3" x14ac:dyDescent="0.2">
      <c r="B43" s="13" t="s">
        <v>70</v>
      </c>
      <c r="C43" s="14" t="s">
        <v>71</v>
      </c>
    </row>
    <row r="44" spans="2:3" x14ac:dyDescent="0.2">
      <c r="B44" s="13" t="s">
        <v>36</v>
      </c>
      <c r="C44" s="14" t="s">
        <v>37</v>
      </c>
    </row>
    <row r="45" spans="2:3" x14ac:dyDescent="0.2">
      <c r="B45" s="13" t="s">
        <v>58</v>
      </c>
      <c r="C45" s="14" t="s">
        <v>59</v>
      </c>
    </row>
    <row r="46" spans="2:3" x14ac:dyDescent="0.2">
      <c r="B46" s="13" t="s">
        <v>72</v>
      </c>
      <c r="C46" s="14" t="s">
        <v>73</v>
      </c>
    </row>
    <row r="47" spans="2:3" x14ac:dyDescent="0.2">
      <c r="B47" s="13" t="s">
        <v>38</v>
      </c>
      <c r="C47" s="14" t="s">
        <v>39</v>
      </c>
    </row>
    <row r="48" spans="2:3" x14ac:dyDescent="0.2">
      <c r="B48" s="13" t="s">
        <v>106</v>
      </c>
      <c r="C48" s="14" t="s">
        <v>107</v>
      </c>
    </row>
    <row r="49" spans="2:3" x14ac:dyDescent="0.2">
      <c r="B49" s="13" t="s">
        <v>74</v>
      </c>
      <c r="C49" s="14" t="s">
        <v>75</v>
      </c>
    </row>
    <row r="50" spans="2:3" x14ac:dyDescent="0.2">
      <c r="B50" s="13" t="s">
        <v>108</v>
      </c>
      <c r="C50" s="14" t="s">
        <v>109</v>
      </c>
    </row>
    <row r="51" spans="2:3" x14ac:dyDescent="0.2">
      <c r="B51" s="13" t="s">
        <v>40</v>
      </c>
      <c r="C51" s="14" t="s">
        <v>41</v>
      </c>
    </row>
    <row r="52" spans="2:3" x14ac:dyDescent="0.2">
      <c r="B52" s="13" t="s">
        <v>42</v>
      </c>
      <c r="C52" s="14" t="s">
        <v>43</v>
      </c>
    </row>
    <row r="53" spans="2:3" ht="13.5" thickBot="1" x14ac:dyDescent="0.25">
      <c r="B53" s="15" t="s">
        <v>110</v>
      </c>
      <c r="C53" s="16" t="s">
        <v>111</v>
      </c>
    </row>
  </sheetData>
  <sheetProtection selectLockedCells="1" selectUnlockedCells="1"/>
  <sortState xmlns:xlrd2="http://schemas.microsoft.com/office/spreadsheetml/2017/richdata2" ref="B3:C53">
    <sortCondition ref="B2:B53"/>
  </sortState>
  <phoneticPr fontId="2" type="noConversion"/>
  <pageMargins left="0.75" right="0.75" top="1" bottom="1" header="0.51180555555555551" footer="0.51180555555555551"/>
  <pageSetup paperSize="9" scale="5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4085-FDE3-4657-BFD7-5F8476D672F6}">
  <dimension ref="A1:P17"/>
  <sheetViews>
    <sheetView tabSelected="1" workbookViewId="0">
      <selection activeCell="D13" sqref="D13"/>
    </sheetView>
  </sheetViews>
  <sheetFormatPr baseColWidth="10" defaultRowHeight="12.75" x14ac:dyDescent="0.2"/>
  <cols>
    <col min="12" max="13" width="0" hidden="1" customWidth="1"/>
  </cols>
  <sheetData>
    <row r="1" spans="1:16" ht="15.75" x14ac:dyDescent="0.2">
      <c r="A1" s="35" t="s">
        <v>128</v>
      </c>
      <c r="B1" s="36" t="s">
        <v>129</v>
      </c>
      <c r="C1" s="37" t="s">
        <v>112</v>
      </c>
      <c r="D1" s="38" t="s">
        <v>113</v>
      </c>
      <c r="E1" s="39" t="s">
        <v>114</v>
      </c>
      <c r="F1" s="39" t="s">
        <v>130</v>
      </c>
      <c r="G1" s="40" t="s">
        <v>115</v>
      </c>
      <c r="H1" s="41" t="s">
        <v>116</v>
      </c>
      <c r="I1" s="39" t="s">
        <v>131</v>
      </c>
      <c r="J1" s="39" t="s">
        <v>132</v>
      </c>
      <c r="K1" s="39" t="s">
        <v>133</v>
      </c>
      <c r="L1" s="39" t="s">
        <v>134</v>
      </c>
      <c r="M1" s="39" t="s">
        <v>135</v>
      </c>
      <c r="N1" s="42" t="s">
        <v>136</v>
      </c>
      <c r="O1" s="43" t="s">
        <v>137</v>
      </c>
      <c r="P1" s="44" t="s">
        <v>138</v>
      </c>
    </row>
    <row r="2" spans="1:16" ht="15" x14ac:dyDescent="0.2">
      <c r="A2" s="45">
        <v>1</v>
      </c>
      <c r="B2" s="46" t="s">
        <v>139</v>
      </c>
      <c r="C2" s="1" t="s">
        <v>125</v>
      </c>
      <c r="D2" s="47" t="str">
        <f>IFERROR(VLOOKUP(C2,[1]BTiradores!$B$2:$H$329,2,FALSE),"")</f>
        <v>Ramon Martinez Lopez</v>
      </c>
      <c r="E2" s="48">
        <f>IFERROR(VLOOKUP(C2,[1]BTiradores!$B$2:$H$329,3,FALSE),"")</f>
        <v>1202</v>
      </c>
      <c r="F2" s="48" t="str">
        <f>IFERROR(VLOOKUP(C2,[1]BTiradores!$B$2:$H$329,4,FALSE),"")</f>
        <v>BU</v>
      </c>
      <c r="G2" s="49">
        <f>IFERROR(VLOOKUP(C2,[1]BTiradores!$B$2:$H$329,5,FALSE),"")</f>
        <v>4</v>
      </c>
      <c r="H2" s="48">
        <f>IFERROR(VLOOKUP(C2,[1]BTiradores!$B$2:$H$329,6,FALSE),"")</f>
        <v>4</v>
      </c>
      <c r="I2" s="48" t="str">
        <f>IFERROR(VLOOKUP(C2,[1]BTiradores!$B$2:$H$329,7,FALSE),"")</f>
        <v>VET</v>
      </c>
      <c r="J2" s="22">
        <v>20</v>
      </c>
      <c r="K2" s="22">
        <v>19</v>
      </c>
      <c r="L2" s="22"/>
      <c r="M2" s="22"/>
      <c r="N2" s="26">
        <f t="shared" ref="N2:N17" si="0">SUM(J2:M2)</f>
        <v>39</v>
      </c>
      <c r="O2" s="20"/>
      <c r="P2" s="29">
        <f t="shared" ref="P2:P17" si="1">SUM(N2:O2)</f>
        <v>39</v>
      </c>
    </row>
    <row r="3" spans="1:16" ht="15" x14ac:dyDescent="0.2">
      <c r="A3" s="50">
        <v>2</v>
      </c>
      <c r="B3" s="25" t="s">
        <v>140</v>
      </c>
      <c r="C3" s="1" t="s">
        <v>124</v>
      </c>
      <c r="D3" s="51" t="str">
        <f>IFERROR(VLOOKUP(C3,[1]BTiradores!$B$2:$H$329,2,FALSE),"")</f>
        <v>Oscar Tejedor Fernandez</v>
      </c>
      <c r="E3" s="52">
        <f>IFERROR(VLOOKUP(C3,[1]BTiradores!$B$2:$H$329,3,FALSE),"")</f>
        <v>2564</v>
      </c>
      <c r="F3" s="52" t="str">
        <f>IFERROR(VLOOKUP(C3,[1]BTiradores!$B$2:$H$329,4,FALSE),"")</f>
        <v>BU</v>
      </c>
      <c r="G3" s="53">
        <f>IFERROR(VLOOKUP(C3,[1]BTiradores!$B$2:$H$329,5,FALSE),"")</f>
        <v>3</v>
      </c>
      <c r="H3" s="52">
        <f>IFERROR(VLOOKUP(C3,[1]BTiradores!$B$2:$H$329,6,FALSE),"")</f>
        <v>3</v>
      </c>
      <c r="I3" s="52" t="str">
        <f>IFERROR(VLOOKUP(C3,[1]BTiradores!$B$2:$H$329,7,FALSE),"")</f>
        <v>SR</v>
      </c>
      <c r="J3" s="23">
        <v>21</v>
      </c>
      <c r="K3" s="23">
        <v>18</v>
      </c>
      <c r="L3" s="23"/>
      <c r="M3" s="23"/>
      <c r="N3" s="27">
        <f>SUM(J3:M3)</f>
        <v>39</v>
      </c>
      <c r="O3" s="19"/>
      <c r="P3" s="30">
        <f t="shared" si="1"/>
        <v>39</v>
      </c>
    </row>
    <row r="4" spans="1:16" ht="15" x14ac:dyDescent="0.2">
      <c r="A4" s="50">
        <v>3</v>
      </c>
      <c r="B4" s="25" t="s">
        <v>141</v>
      </c>
      <c r="C4" s="54" t="s">
        <v>126</v>
      </c>
      <c r="D4" s="51" t="str">
        <f>IFERROR(VLOOKUP(C4,[1]BTiradores!$B$2:$H$329,2,FALSE),"")</f>
        <v>Raul Alonso</v>
      </c>
      <c r="E4" s="52">
        <f>IFERROR(VLOOKUP(C4,[1]BTiradores!$B$2:$H$329,3,FALSE),"")</f>
        <v>0</v>
      </c>
      <c r="F4" s="52" t="str">
        <f>IFERROR(VLOOKUP(C4,[1]BTiradores!$B$2:$H$329,4,FALSE),"")</f>
        <v>BU</v>
      </c>
      <c r="G4" s="53">
        <f>IFERROR(VLOOKUP(C4,[1]BTiradores!$B$2:$H$329,5,FALSE),"")</f>
        <v>4</v>
      </c>
      <c r="H4" s="52">
        <f>IFERROR(VLOOKUP(C4,[1]BTiradores!$B$2:$H$329,6,FALSE),"")</f>
        <v>4</v>
      </c>
      <c r="I4" s="52" t="str">
        <f>IFERROR(VLOOKUP(C4,[1]BTiradores!$B$2:$H$329,7,FALSE),"")</f>
        <v>SR</v>
      </c>
      <c r="J4" s="23">
        <v>18</v>
      </c>
      <c r="K4" s="23">
        <v>19</v>
      </c>
      <c r="L4" s="23"/>
      <c r="M4" s="23"/>
      <c r="N4" s="27">
        <f t="shared" si="0"/>
        <v>37</v>
      </c>
      <c r="O4" s="19"/>
      <c r="P4" s="30">
        <f t="shared" si="1"/>
        <v>37</v>
      </c>
    </row>
    <row r="5" spans="1:16" ht="15" x14ac:dyDescent="0.2">
      <c r="A5" s="50">
        <v>4</v>
      </c>
      <c r="B5" s="25" t="s">
        <v>142</v>
      </c>
      <c r="C5" s="32" t="s">
        <v>121</v>
      </c>
      <c r="D5" s="51" t="str">
        <f>IFERROR(VLOOKUP(C5,[1]BTiradores!$B$2:$H$329,2,FALSE),"")</f>
        <v>Jose Antonio Tirado De La Fuente</v>
      </c>
      <c r="E5" s="52">
        <f>IFERROR(VLOOKUP(C5,[1]BTiradores!$B$2:$H$329,3,FALSE),"")</f>
        <v>1239</v>
      </c>
      <c r="F5" s="52" t="str">
        <f>IFERROR(VLOOKUP(C5,[1]BTiradores!$B$2:$H$329,4,FALSE),"")</f>
        <v>BU</v>
      </c>
      <c r="G5" s="53">
        <f>IFERROR(VLOOKUP(C5,[1]BTiradores!$B$2:$H$329,5,FALSE),"")</f>
        <v>4</v>
      </c>
      <c r="H5" s="52">
        <f>IFERROR(VLOOKUP(C5,[1]BTiradores!$B$2:$H$329,6,FALSE),"")</f>
        <v>4</v>
      </c>
      <c r="I5" s="52" t="str">
        <f>IFERROR(VLOOKUP(C5,[1]BTiradores!$B$2:$H$329,7,FALSE),"")</f>
        <v>SR</v>
      </c>
      <c r="J5" s="23">
        <v>18</v>
      </c>
      <c r="K5" s="23">
        <v>15</v>
      </c>
      <c r="L5" s="23"/>
      <c r="M5" s="23"/>
      <c r="N5" s="27">
        <f t="shared" si="0"/>
        <v>33</v>
      </c>
      <c r="O5" s="19"/>
      <c r="P5" s="30">
        <f t="shared" si="1"/>
        <v>33</v>
      </c>
    </row>
    <row r="6" spans="1:16" ht="15" x14ac:dyDescent="0.2">
      <c r="A6" s="50">
        <v>5</v>
      </c>
      <c r="B6" s="25" t="s">
        <v>143</v>
      </c>
      <c r="C6" s="1" t="s">
        <v>122</v>
      </c>
      <c r="D6" s="51" t="str">
        <f>IFERROR(VLOOKUP(C6,[1]BTiradores!$B$2:$H$329,2,FALSE),"")</f>
        <v>Mariano Pardo Gonzalez</v>
      </c>
      <c r="E6" s="52">
        <f>IFERROR(VLOOKUP(C6,[1]BTiradores!$B$2:$H$329,3,FALSE),"")</f>
        <v>2465</v>
      </c>
      <c r="F6" s="52" t="str">
        <f>IFERROR(VLOOKUP(C6,[1]BTiradores!$B$2:$H$329,4,FALSE),"")</f>
        <v>BU</v>
      </c>
      <c r="G6" s="53">
        <f>IFERROR(VLOOKUP(C6,[1]BTiradores!$B$2:$H$329,5,FALSE),"")</f>
        <v>1</v>
      </c>
      <c r="H6" s="52">
        <f>IFERROR(VLOOKUP(C6,[1]BTiradores!$B$2:$H$329,6,FALSE),"")</f>
        <v>1</v>
      </c>
      <c r="I6" s="52" t="str">
        <f>IFERROR(VLOOKUP(C6,[1]BTiradores!$B$2:$H$329,7,FALSE),"")</f>
        <v>SR</v>
      </c>
      <c r="J6" s="23">
        <v>23</v>
      </c>
      <c r="K6" s="23">
        <v>21</v>
      </c>
      <c r="L6" s="23"/>
      <c r="M6" s="23"/>
      <c r="N6" s="27">
        <f t="shared" si="0"/>
        <v>44</v>
      </c>
      <c r="O6" s="19"/>
      <c r="P6" s="30">
        <f t="shared" si="1"/>
        <v>44</v>
      </c>
    </row>
    <row r="7" spans="1:16" ht="15" x14ac:dyDescent="0.2">
      <c r="A7" s="55">
        <v>6</v>
      </c>
      <c r="B7" s="56" t="s">
        <v>144</v>
      </c>
      <c r="C7" s="32" t="s">
        <v>158</v>
      </c>
      <c r="D7" s="57" t="str">
        <f>IFERROR(VLOOKUP(C7,[1]BTiradores!$B$2:$H$329,2,FALSE),"")</f>
        <v>Igor Sergio Catalina</v>
      </c>
      <c r="E7" s="58">
        <f>IFERROR(VLOOKUP(C7,[1]BTiradores!$B$2:$H$329,3,FALSE),"")</f>
        <v>0</v>
      </c>
      <c r="F7" s="58" t="str">
        <f>IFERROR(VLOOKUP(C7,[1]BTiradores!$B$2:$H$329,4,FALSE),"")</f>
        <v>BU</v>
      </c>
      <c r="G7" s="59">
        <f>IFERROR(VLOOKUP(C7,[1]BTiradores!$B$2:$H$329,5,FALSE),"")</f>
        <v>3</v>
      </c>
      <c r="H7" s="58">
        <f>IFERROR(VLOOKUP(C7,[1]BTiradores!$B$2:$H$329,6,FALSE),"")</f>
        <v>3</v>
      </c>
      <c r="I7" s="58" t="str">
        <f>IFERROR(VLOOKUP(C7,[1]BTiradores!$B$2:$H$329,7,FALSE),"")</f>
        <v>SR</v>
      </c>
      <c r="J7" s="24">
        <v>20</v>
      </c>
      <c r="K7" s="24">
        <v>19</v>
      </c>
      <c r="L7" s="24"/>
      <c r="M7" s="24"/>
      <c r="N7" s="28">
        <f t="shared" si="0"/>
        <v>39</v>
      </c>
      <c r="O7" s="21"/>
      <c r="P7" s="31">
        <f t="shared" si="1"/>
        <v>39</v>
      </c>
    </row>
    <row r="8" spans="1:16" ht="15" x14ac:dyDescent="0.2">
      <c r="A8" s="34">
        <v>7</v>
      </c>
      <c r="B8" s="25" t="s">
        <v>145</v>
      </c>
      <c r="C8" s="54" t="s">
        <v>118</v>
      </c>
      <c r="D8" s="51" t="str">
        <f>IFERROR(VLOOKUP(C8,[1]BTiradores!$B$2:$H$329,2,FALSE),"")</f>
        <v>Arturo Ruiz Lopez</v>
      </c>
      <c r="E8" s="52">
        <f>IFERROR(VLOOKUP(C8,[1]BTiradores!$B$2:$H$329,3,FALSE),"")</f>
        <v>0</v>
      </c>
      <c r="F8" s="52" t="str">
        <f>IFERROR(VLOOKUP(C8,[1]BTiradores!$B$2:$H$329,4,FALSE),"")</f>
        <v>BU</v>
      </c>
      <c r="G8" s="53">
        <f>IFERROR(VLOOKUP(C8,[1]BTiradores!$B$2:$H$329,5,FALSE),"")</f>
        <v>2</v>
      </c>
      <c r="H8" s="52">
        <f>IFERROR(VLOOKUP(C8,[1]BTiradores!$B$2:$H$329,6,FALSE),"")</f>
        <v>2</v>
      </c>
      <c r="I8" s="52" t="str">
        <f>IFERROR(VLOOKUP(C8,[1]BTiradores!$B$2:$H$329,7,FALSE),"")</f>
        <v>SR</v>
      </c>
      <c r="J8" s="23">
        <v>22</v>
      </c>
      <c r="K8" s="23">
        <v>23</v>
      </c>
      <c r="L8" s="23"/>
      <c r="M8" s="23"/>
      <c r="N8" s="27">
        <f t="shared" si="0"/>
        <v>45</v>
      </c>
      <c r="O8" s="19"/>
      <c r="P8" s="27">
        <f t="shared" si="1"/>
        <v>45</v>
      </c>
    </row>
    <row r="9" spans="1:16" ht="15" x14ac:dyDescent="0.2">
      <c r="A9" s="34">
        <v>8</v>
      </c>
      <c r="B9" s="25" t="s">
        <v>146</v>
      </c>
      <c r="C9" s="54" t="s">
        <v>119</v>
      </c>
      <c r="D9" s="51" t="str">
        <f>IFERROR(VLOOKUP(C9,[1]BTiradores!$B$2:$H$329,2,FALSE),"")</f>
        <v>Ivan Salvador Gonzalez</v>
      </c>
      <c r="E9" s="52">
        <f>IFERROR(VLOOKUP(C9,[1]BTiradores!$B$2:$H$329,3,FALSE),"")</f>
        <v>1212</v>
      </c>
      <c r="F9" s="52" t="str">
        <f>IFERROR(VLOOKUP(C9,[1]BTiradores!$B$2:$H$329,4,FALSE),"")</f>
        <v>BU</v>
      </c>
      <c r="G9" s="53">
        <f>IFERROR(VLOOKUP(C9,[1]BTiradores!$B$2:$H$329,5,FALSE),"")</f>
        <v>3</v>
      </c>
      <c r="H9" s="52">
        <f>IFERROR(VLOOKUP(C9,[1]BTiradores!$B$2:$H$329,6,FALSE),"")</f>
        <v>3</v>
      </c>
      <c r="I9" s="52" t="str">
        <f>IFERROR(VLOOKUP(C9,[1]BTiradores!$B$2:$H$329,7,FALSE),"")</f>
        <v>SR</v>
      </c>
      <c r="J9" s="23">
        <v>23</v>
      </c>
      <c r="K9" s="23">
        <v>24</v>
      </c>
      <c r="L9" s="23"/>
      <c r="M9" s="23"/>
      <c r="N9" s="27">
        <f t="shared" si="0"/>
        <v>47</v>
      </c>
      <c r="O9" s="19"/>
      <c r="P9" s="27">
        <f t="shared" si="1"/>
        <v>47</v>
      </c>
    </row>
    <row r="10" spans="1:16" ht="15" x14ac:dyDescent="0.2">
      <c r="A10" s="34">
        <v>9</v>
      </c>
      <c r="B10" s="25" t="s">
        <v>147</v>
      </c>
      <c r="C10" s="32" t="s">
        <v>120</v>
      </c>
      <c r="D10" s="51" t="str">
        <f>IFERROR(VLOOKUP(C10,[1]BTiradores!$B$2:$H$329,2,FALSE),"")</f>
        <v>Jairo Garcia Gil</v>
      </c>
      <c r="E10" s="52">
        <f>IFERROR(VLOOKUP(C10,[1]BTiradores!$B$2:$H$329,3,FALSE),"")</f>
        <v>2460</v>
      </c>
      <c r="F10" s="52" t="str">
        <f>IFERROR(VLOOKUP(C10,[1]BTiradores!$B$2:$H$329,4,FALSE),"")</f>
        <v>BU</v>
      </c>
      <c r="G10" s="53">
        <f>IFERROR(VLOOKUP(C10,[1]BTiradores!$B$2:$H$329,5,FALSE),"")</f>
        <v>3</v>
      </c>
      <c r="H10" s="52">
        <f>IFERROR(VLOOKUP(C10,[1]BTiradores!$B$2:$H$329,6,FALSE),"")</f>
        <v>3</v>
      </c>
      <c r="I10" s="52" t="str">
        <f>IFERROR(VLOOKUP(C10,[1]BTiradores!$B$2:$H$329,7,FALSE),"")</f>
        <v>SR</v>
      </c>
      <c r="J10" s="23">
        <v>22</v>
      </c>
      <c r="K10" s="23">
        <v>22</v>
      </c>
      <c r="L10" s="23"/>
      <c r="M10" s="23"/>
      <c r="N10" s="27">
        <f t="shared" si="0"/>
        <v>44</v>
      </c>
      <c r="O10" s="19"/>
      <c r="P10" s="27">
        <f t="shared" si="1"/>
        <v>44</v>
      </c>
    </row>
    <row r="11" spans="1:16" ht="15" x14ac:dyDescent="0.2">
      <c r="A11" s="34">
        <v>10</v>
      </c>
      <c r="B11" s="25" t="s">
        <v>148</v>
      </c>
      <c r="C11" s="33" t="s">
        <v>159</v>
      </c>
      <c r="D11" s="51" t="str">
        <f>IFERROR(VLOOKUP(C11,[1]BTiradores!$B$2:$H$329,2,FALSE),"")</f>
        <v>Ivan Gonzalez Palacin</v>
      </c>
      <c r="E11" s="52">
        <f>IFERROR(VLOOKUP(C11,[1]BTiradores!$B$2:$H$329,3,FALSE),"")</f>
        <v>5849</v>
      </c>
      <c r="F11" s="52" t="str">
        <f>IFERROR(VLOOKUP(C11,[1]BTiradores!$B$2:$H$329,4,FALSE),"")</f>
        <v>BU</v>
      </c>
      <c r="G11" s="53">
        <f>IFERROR(VLOOKUP(C11,[1]BTiradores!$B$2:$H$329,5,FALSE),"")</f>
        <v>4</v>
      </c>
      <c r="H11" s="52">
        <f>IFERROR(VLOOKUP(C11,[1]BTiradores!$B$2:$H$329,6,FALSE),"")</f>
        <v>4</v>
      </c>
      <c r="I11" s="52" t="str">
        <f>IFERROR(VLOOKUP(C11,[1]BTiradores!$B$2:$H$329,7,FALSE),"")</f>
        <v>SR</v>
      </c>
      <c r="J11" s="23">
        <v>20</v>
      </c>
      <c r="K11" s="23">
        <v>20</v>
      </c>
      <c r="L11" s="23"/>
      <c r="M11" s="23"/>
      <c r="N11" s="27">
        <f t="shared" si="0"/>
        <v>40</v>
      </c>
      <c r="O11" s="19"/>
      <c r="P11" s="27">
        <f t="shared" si="1"/>
        <v>40</v>
      </c>
    </row>
    <row r="12" spans="1:16" ht="15" x14ac:dyDescent="0.2">
      <c r="A12" s="34">
        <v>11</v>
      </c>
      <c r="B12" s="25" t="s">
        <v>149</v>
      </c>
      <c r="C12" s="33" t="s">
        <v>155</v>
      </c>
      <c r="D12" s="51" t="str">
        <f>IFERROR(VLOOKUP(C12,[1]BTiradores!$B$2:$H$329,2,FALSE),"")</f>
        <v>Jaime Hernandez Hortiguela</v>
      </c>
      <c r="E12" s="52">
        <f>IFERROR(VLOOKUP(C12,[1]BTiradores!$B$2:$H$329,3,FALSE),"")</f>
        <v>0</v>
      </c>
      <c r="F12" s="52" t="str">
        <f>IFERROR(VLOOKUP(C12,[1]BTiradores!$B$2:$H$329,4,FALSE),"")</f>
        <v>BU</v>
      </c>
      <c r="G12" s="53">
        <f>IFERROR(VLOOKUP(C12,[1]BTiradores!$B$2:$H$329,5,FALSE),"")</f>
        <v>2</v>
      </c>
      <c r="H12" s="52">
        <f>IFERROR(VLOOKUP(C12,[1]BTiradores!$B$2:$H$329,6,FALSE),"")</f>
        <v>2</v>
      </c>
      <c r="I12" s="52" t="str">
        <f>IFERROR(VLOOKUP(C12,[1]BTiradores!$B$2:$H$329,7,FALSE),"")</f>
        <v>VET</v>
      </c>
      <c r="J12" s="23">
        <v>22</v>
      </c>
      <c r="K12" s="23">
        <v>23</v>
      </c>
      <c r="L12" s="23"/>
      <c r="M12" s="23"/>
      <c r="N12" s="27">
        <f t="shared" si="0"/>
        <v>45</v>
      </c>
      <c r="O12" s="19"/>
      <c r="P12" s="27">
        <f t="shared" si="1"/>
        <v>45</v>
      </c>
    </row>
    <row r="13" spans="1:16" ht="15" x14ac:dyDescent="0.2">
      <c r="A13" s="34">
        <v>12</v>
      </c>
      <c r="B13" s="25" t="s">
        <v>150</v>
      </c>
      <c r="C13" s="33"/>
      <c r="D13" s="51" t="s">
        <v>117</v>
      </c>
      <c r="E13" s="52" t="str">
        <f>IFERROR(VLOOKUP(C13,[1]BTiradores!$B$2:$H$329,3,FALSE),"")</f>
        <v/>
      </c>
      <c r="F13" s="52" t="str">
        <f>IFERROR(VLOOKUP(C13,[1]BTiradores!$B$2:$H$329,4,FALSE),"")</f>
        <v/>
      </c>
      <c r="G13" s="53" t="str">
        <f>IFERROR(VLOOKUP(C13,[1]BTiradores!$B$2:$H$329,5,FALSE),"")</f>
        <v/>
      </c>
      <c r="H13" s="52" t="str">
        <f>IFERROR(VLOOKUP(C13,[1]BTiradores!$B$2:$H$329,6,FALSE),"")</f>
        <v/>
      </c>
      <c r="I13" s="52" t="str">
        <f>IFERROR(VLOOKUP(C13,[1]BTiradores!$B$2:$H$329,7,FALSE),"")</f>
        <v/>
      </c>
      <c r="J13" s="23"/>
      <c r="K13" s="23"/>
      <c r="L13" s="23"/>
      <c r="M13" s="23"/>
      <c r="N13" s="27">
        <f t="shared" si="0"/>
        <v>0</v>
      </c>
      <c r="O13" s="19"/>
      <c r="P13" s="27">
        <f t="shared" si="1"/>
        <v>0</v>
      </c>
    </row>
    <row r="14" spans="1:16" ht="15" x14ac:dyDescent="0.2">
      <c r="A14" s="45">
        <v>13</v>
      </c>
      <c r="B14" s="46" t="s">
        <v>151</v>
      </c>
      <c r="C14" s="1" t="s">
        <v>123</v>
      </c>
      <c r="D14" s="47" t="str">
        <f>IFERROR(VLOOKUP(C14,[1]BTiradores!$B$2:$H$329,2,FALSE),"")</f>
        <v>Maximo Ausin Ausin</v>
      </c>
      <c r="E14" s="48">
        <f>IFERROR(VLOOKUP(C14,[1]BTiradores!$B$2:$H$329,3,FALSE),"")</f>
        <v>1229</v>
      </c>
      <c r="F14" s="48" t="str">
        <f>IFERROR(VLOOKUP(C14,[1]BTiradores!$B$2:$H$329,4,FALSE),"")</f>
        <v>BU</v>
      </c>
      <c r="G14" s="49">
        <f>IFERROR(VLOOKUP(C14,[1]BTiradores!$B$2:$H$329,5,FALSE),"")</f>
        <v>4</v>
      </c>
      <c r="H14" s="48">
        <f>IFERROR(VLOOKUP(C14,[1]BTiradores!$B$2:$H$329,6,FALSE),"")</f>
        <v>4</v>
      </c>
      <c r="I14" s="48" t="str">
        <f>IFERROR(VLOOKUP(C14,[1]BTiradores!$B$2:$H$329,7,FALSE),"")</f>
        <v>VET</v>
      </c>
      <c r="J14" s="22">
        <v>15</v>
      </c>
      <c r="K14" s="22">
        <v>17</v>
      </c>
      <c r="L14" s="22"/>
      <c r="M14" s="22"/>
      <c r="N14" s="26">
        <f t="shared" si="0"/>
        <v>32</v>
      </c>
      <c r="O14" s="20"/>
      <c r="P14" s="29">
        <f t="shared" si="1"/>
        <v>32</v>
      </c>
    </row>
    <row r="15" spans="1:16" ht="15" x14ac:dyDescent="0.2">
      <c r="A15" s="50">
        <v>14</v>
      </c>
      <c r="B15" s="25" t="s">
        <v>152</v>
      </c>
      <c r="C15" s="32" t="s">
        <v>127</v>
      </c>
      <c r="D15" s="51" t="str">
        <f>IFERROR(VLOOKUP(C15,[1]BTiradores!$B$2:$H$329,2,FALSE),"")</f>
        <v>Roberto Santamaria Alonso</v>
      </c>
      <c r="E15" s="52">
        <f>IFERROR(VLOOKUP(C15,[1]BTiradores!$B$2:$H$329,3,FALSE),"")</f>
        <v>0</v>
      </c>
      <c r="F15" s="52" t="str">
        <f>IFERROR(VLOOKUP(C15,[1]BTiradores!$B$2:$H$329,4,FALSE),"")</f>
        <v>BU</v>
      </c>
      <c r="G15" s="53">
        <f>IFERROR(VLOOKUP(C15,[1]BTiradores!$B$2:$H$329,5,FALSE),"")</f>
        <v>3</v>
      </c>
      <c r="H15" s="52">
        <f>IFERROR(VLOOKUP(C15,[1]BTiradores!$B$2:$H$329,6,FALSE),"")</f>
        <v>3</v>
      </c>
      <c r="I15" s="52" t="str">
        <f>IFERROR(VLOOKUP(C15,[1]BTiradores!$B$2:$H$329,7,FALSE),"")</f>
        <v>SR</v>
      </c>
      <c r="J15" s="23">
        <v>23</v>
      </c>
      <c r="K15" s="23">
        <v>21</v>
      </c>
      <c r="L15" s="23"/>
      <c r="M15" s="23"/>
      <c r="N15" s="27">
        <f t="shared" si="0"/>
        <v>44</v>
      </c>
      <c r="O15" s="19"/>
      <c r="P15" s="30">
        <f t="shared" si="1"/>
        <v>44</v>
      </c>
    </row>
    <row r="16" spans="1:16" ht="15" x14ac:dyDescent="0.2">
      <c r="A16" s="50">
        <v>15</v>
      </c>
      <c r="B16" s="25" t="s">
        <v>153</v>
      </c>
      <c r="C16" s="33" t="s">
        <v>157</v>
      </c>
      <c r="D16" s="51" t="str">
        <f>IFERROR(VLOOKUP(C16,[1]BTiradores!$B$2:$H$329,2,FALSE),"")</f>
        <v>Jesus Alvarez Lopez</v>
      </c>
      <c r="E16" s="52">
        <f>IFERROR(VLOOKUP(C16,[1]BTiradores!$B$2:$H$329,3,FALSE),"")</f>
        <v>0</v>
      </c>
      <c r="F16" s="52" t="str">
        <f>IFERROR(VLOOKUP(C16,[1]BTiradores!$B$2:$H$329,4,FALSE),"")</f>
        <v>BU</v>
      </c>
      <c r="G16" s="53">
        <f>IFERROR(VLOOKUP(C16,[1]BTiradores!$B$2:$H$329,5,FALSE),"")</f>
        <v>4</v>
      </c>
      <c r="H16" s="52">
        <f>IFERROR(VLOOKUP(C16,[1]BTiradores!$B$2:$H$329,6,FALSE),"")</f>
        <v>4</v>
      </c>
      <c r="I16" s="52" t="str">
        <f>IFERROR(VLOOKUP(C16,[1]BTiradores!$B$2:$H$329,7,FALSE),"")</f>
        <v>SR</v>
      </c>
      <c r="J16" s="23">
        <v>2</v>
      </c>
      <c r="K16" s="23">
        <v>3</v>
      </c>
      <c r="L16" s="23"/>
      <c r="M16" s="23"/>
      <c r="N16" s="27">
        <f t="shared" si="0"/>
        <v>5</v>
      </c>
      <c r="O16" s="19"/>
      <c r="P16" s="30">
        <f t="shared" si="1"/>
        <v>5</v>
      </c>
    </row>
    <row r="17" spans="1:16" ht="15" x14ac:dyDescent="0.2">
      <c r="A17" s="50">
        <v>16</v>
      </c>
      <c r="B17" s="25" t="s">
        <v>154</v>
      </c>
      <c r="C17" s="33" t="s">
        <v>156</v>
      </c>
      <c r="D17" s="51" t="str">
        <f>IFERROR(VLOOKUP(C17,[1]BTiradores!$B$2:$H$329,2,FALSE),"")</f>
        <v>Carlos Ventura</v>
      </c>
      <c r="E17" s="52">
        <f>IFERROR(VLOOKUP(C17,[1]BTiradores!$B$2:$H$329,3,FALSE),"")</f>
        <v>5630</v>
      </c>
      <c r="F17" s="52" t="str">
        <f>IFERROR(VLOOKUP(C17,[1]BTiradores!$B$2:$H$329,4,FALSE),"")</f>
        <v>BU</v>
      </c>
      <c r="G17" s="53">
        <f>IFERROR(VLOOKUP(C17,[1]BTiradores!$B$2:$H$329,5,FALSE),"")</f>
        <v>4</v>
      </c>
      <c r="H17" s="52">
        <f>IFERROR(VLOOKUP(C17,[1]BTiradores!$B$2:$H$329,6,FALSE),"")</f>
        <v>4</v>
      </c>
      <c r="I17" s="52" t="str">
        <f>IFERROR(VLOOKUP(C17,[1]BTiradores!$B$2:$H$329,7,FALSE),"")</f>
        <v>SR</v>
      </c>
      <c r="J17" s="23">
        <v>16</v>
      </c>
      <c r="K17" s="23">
        <v>15</v>
      </c>
      <c r="L17" s="23"/>
      <c r="M17" s="23"/>
      <c r="N17" s="27">
        <f t="shared" si="0"/>
        <v>31</v>
      </c>
      <c r="O17" s="19"/>
      <c r="P17" s="30">
        <f t="shared" si="1"/>
        <v>31</v>
      </c>
    </row>
  </sheetData>
  <conditionalFormatting sqref="K2">
    <cfRule type="cellIs" dxfId="3" priority="3" operator="equal">
      <formula>24</formula>
    </cfRule>
    <cfRule type="cellIs" dxfId="2" priority="4" operator="equal">
      <formula>25</formula>
    </cfRule>
  </conditionalFormatting>
  <conditionalFormatting sqref="O2:O17 J2:M17">
    <cfRule type="containsText" dxfId="1" priority="2" operator="containsText" text="25">
      <formula>NOT(ISERROR(SEARCH("25",J2)))</formula>
    </cfRule>
  </conditionalFormatting>
  <conditionalFormatting sqref="O2:O17 J2:M17">
    <cfRule type="containsText" dxfId="0" priority="1" operator="containsText" text="24">
      <formula>NOT(ISERROR(SEARCH("24",J2)))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411A25-846D-4D1A-96AD-BA858B4441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PROVINCIAS</vt:lpstr>
      <vt:lpstr>INSCRIPCIONES</vt:lpstr>
      <vt:lpstr>PROVINCIAS!Área_de_impresión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TIRADA NAVIDAD</dc:title>
  <dc:subject/>
  <dc:creator>Usuario</dc:creator>
  <cp:keywords/>
  <dc:description/>
  <cp:lastModifiedBy>jairo garcia</cp:lastModifiedBy>
  <cp:revision/>
  <cp:lastPrinted>2026-03-01T18:53:14Z</cp:lastPrinted>
  <dcterms:created xsi:type="dcterms:W3CDTF">2018-04-12T19:48:47Z</dcterms:created>
  <dcterms:modified xsi:type="dcterms:W3CDTF">2026-04-12T21:25:18Z</dcterms:modified>
  <cp:category/>
  <cp:contentStatus/>
</cp:coreProperties>
</file>