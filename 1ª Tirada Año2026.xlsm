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fe23f8b2e50b2ca/TIRADAS/2026/1ª Tirada Año/"/>
    </mc:Choice>
  </mc:AlternateContent>
  <xr:revisionPtr revIDLastSave="19" documentId="14_{712BCF25-B6DF-484B-8BFC-AE14D9026057}" xr6:coauthVersionLast="47" xr6:coauthVersionMax="47" xr10:uidLastSave="{4FC4C521-02AE-4637-846A-2951286B3470}"/>
  <bookViews>
    <workbookView xWindow="-120" yWindow="-120" windowWidth="29040" windowHeight="15840" tabRatio="662" firstSheet="1" activeTab="3" xr2:uid="{00000000-000D-0000-FFFF-FFFF00000000}"/>
  </bookViews>
  <sheets>
    <sheet name="PROVINCIAS" sheetId="1" r:id="rId1"/>
    <sheet name="BTiradores" sheetId="2" r:id="rId2"/>
    <sheet name="INSCRIPCIONES" sheetId="3" r:id="rId3"/>
    <sheet name="CLASIFICACION" sheetId="27" r:id="rId4"/>
    <sheet name="CATEGORIAS" sheetId="28" r:id="rId5"/>
    <sheet name="1" sheetId="4" r:id="rId6"/>
    <sheet name="2" sheetId="5" r:id="rId7"/>
    <sheet name="3" sheetId="6" r:id="rId8"/>
    <sheet name="4" sheetId="7" r:id="rId9"/>
    <sheet name="5" sheetId="8" r:id="rId10"/>
    <sheet name="6" sheetId="9" r:id="rId11"/>
    <sheet name="7" sheetId="10" r:id="rId12"/>
    <sheet name="8" sheetId="11" r:id="rId13"/>
    <sheet name="9" sheetId="12" r:id="rId14"/>
    <sheet name="10" sheetId="13" r:id="rId15"/>
    <sheet name="11" sheetId="14" r:id="rId16"/>
    <sheet name="12" sheetId="15" r:id="rId17"/>
    <sheet name="13" sheetId="16" r:id="rId18"/>
    <sheet name="14" sheetId="17" r:id="rId19"/>
    <sheet name="15" sheetId="18" r:id="rId20"/>
    <sheet name="16" sheetId="19" r:id="rId21"/>
    <sheet name="17" sheetId="20" r:id="rId22"/>
    <sheet name="18" sheetId="21" r:id="rId23"/>
    <sheet name="19" sheetId="22" r:id="rId24"/>
    <sheet name="20" sheetId="23" r:id="rId25"/>
    <sheet name="21" sheetId="24" r:id="rId26"/>
  </sheets>
  <definedNames>
    <definedName name="_xlnm._FilterDatabase" localSheetId="1" hidden="1">BTiradores!$B$1:$H$301</definedName>
    <definedName name="_xlnm._FilterDatabase" localSheetId="4" hidden="1">CATEGORIAS!$C$5:$O$56</definedName>
    <definedName name="_xlnm._FilterDatabase" localSheetId="3" hidden="1">CLASIFICACION!$B$5:$M$53</definedName>
    <definedName name="_xlnm._FilterDatabase" localSheetId="2" hidden="1">INSCRIPCIONES!$E$3:$O$524</definedName>
    <definedName name="_xlnm.Print_Area" localSheetId="5">'1'!$A$1:$AB$39</definedName>
    <definedName name="_xlnm.Print_Area" localSheetId="14">'10'!$A$1:$AB$39</definedName>
    <definedName name="_xlnm.Print_Area" localSheetId="15">'11'!$A$1:$AB$39</definedName>
    <definedName name="_xlnm.Print_Area" localSheetId="16">'12'!$A$1:$AB$39</definedName>
    <definedName name="_xlnm.Print_Area" localSheetId="17">'13'!$A$1:$AB$39</definedName>
    <definedName name="_xlnm.Print_Area" localSheetId="18">'14'!$A$1:$AB$39</definedName>
    <definedName name="_xlnm.Print_Area" localSheetId="19">'15'!$A$1:$AB$39</definedName>
    <definedName name="_xlnm.Print_Area" localSheetId="20">'16'!$A$1:$AB$39</definedName>
    <definedName name="_xlnm.Print_Area" localSheetId="21">'17'!$A$1:$AB$39</definedName>
    <definedName name="_xlnm.Print_Area" localSheetId="22">'18'!$A$1:$AB$39</definedName>
    <definedName name="_xlnm.Print_Area" localSheetId="23">'19'!$A$1:$AB$39</definedName>
    <definedName name="_xlnm.Print_Area" localSheetId="6">'2'!$A$1:$AB$39</definedName>
    <definedName name="_xlnm.Print_Area" localSheetId="24">'20'!$A$1:$AB$39</definedName>
    <definedName name="_xlnm.Print_Area" localSheetId="25">'21'!$A$1:$AB$39</definedName>
    <definedName name="_xlnm.Print_Area" localSheetId="7">'3'!$A$1:$AB$39</definedName>
    <definedName name="_xlnm.Print_Area" localSheetId="8">'4'!$A$1:$AB$39</definedName>
    <definedName name="_xlnm.Print_Area" localSheetId="9">'5'!$A$1:$AB$39</definedName>
    <definedName name="_xlnm.Print_Area" localSheetId="10">'6'!$A$1:$AB$39</definedName>
    <definedName name="_xlnm.Print_Area" localSheetId="11">'7'!$A$1:$AB$39</definedName>
    <definedName name="_xlnm.Print_Area" localSheetId="12">'8'!$A$1:$AB$39</definedName>
    <definedName name="_xlnm.Print_Area" localSheetId="13">'9'!$A$1:$AB$39</definedName>
    <definedName name="_xlnm.Print_Area" localSheetId="1">BTiradores!$A$1:$I$327</definedName>
    <definedName name="_xlnm.Print_Area" localSheetId="3">CLASIFICACION!$A$1:$M$66</definedName>
    <definedName name="_xlnm.Print_Area" localSheetId="2">INSCRIPCIONES!$A$1:$Q$129</definedName>
    <definedName name="_xlnm.Print_Area" localSheetId="0">PROVINCIAS!$A$1:$M$29</definedName>
    <definedName name="_xlnm.Criteria" localSheetId="4">CATEGORIAS!$B$2:$N$3</definedName>
    <definedName name="_xlnm.Criteria" localSheetId="3">CLASIFICACION!$B$2:$N$3</definedName>
    <definedName name="_xlnm.Print_Titles" localSheetId="2">INSCRIPCIONES!$3:$3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27" l="1"/>
  <c r="I23" i="27"/>
  <c r="I9" i="27"/>
  <c r="I7" i="27"/>
  <c r="I8" i="27"/>
  <c r="G61" i="27"/>
  <c r="H61" i="27"/>
  <c r="I61" i="27"/>
  <c r="J61" i="27"/>
  <c r="K61" i="27"/>
  <c r="L61" i="27"/>
  <c r="M61" i="27"/>
  <c r="G62" i="27"/>
  <c r="H62" i="27"/>
  <c r="I62" i="27"/>
  <c r="J62" i="27"/>
  <c r="K62" i="27"/>
  <c r="L62" i="27"/>
  <c r="M62" i="27"/>
  <c r="G63" i="27"/>
  <c r="H63" i="27"/>
  <c r="I63" i="27"/>
  <c r="J63" i="27"/>
  <c r="K63" i="27"/>
  <c r="L63" i="27"/>
  <c r="M63" i="27"/>
  <c r="G64" i="27"/>
  <c r="H64" i="27"/>
  <c r="I64" i="27"/>
  <c r="J64" i="27"/>
  <c r="K64" i="27"/>
  <c r="L64" i="27"/>
  <c r="M64" i="27"/>
  <c r="G65" i="27"/>
  <c r="H65" i="27"/>
  <c r="I65" i="27"/>
  <c r="J65" i="27"/>
  <c r="K65" i="27"/>
  <c r="L65" i="27"/>
  <c r="M65" i="27"/>
  <c r="R64" i="3"/>
  <c r="T64" i="3" s="1"/>
  <c r="B53" i="27"/>
  <c r="G53" i="27"/>
  <c r="H53" i="27"/>
  <c r="I53" i="27"/>
  <c r="J53" i="27"/>
  <c r="L53" i="27"/>
  <c r="B38" i="27"/>
  <c r="G38" i="27"/>
  <c r="H38" i="27"/>
  <c r="I38" i="27"/>
  <c r="J38" i="27"/>
  <c r="L38" i="27"/>
  <c r="B14" i="27"/>
  <c r="G14" i="27"/>
  <c r="H14" i="27"/>
  <c r="I14" i="27"/>
  <c r="J14" i="27"/>
  <c r="L14" i="27"/>
  <c r="G54" i="27"/>
  <c r="H54" i="27"/>
  <c r="I54" i="27"/>
  <c r="J54" i="27"/>
  <c r="L54" i="27"/>
  <c r="G55" i="27"/>
  <c r="H55" i="27"/>
  <c r="I55" i="27"/>
  <c r="J55" i="27"/>
  <c r="L55" i="27"/>
  <c r="G56" i="27"/>
  <c r="H56" i="27"/>
  <c r="I56" i="27"/>
  <c r="J56" i="27"/>
  <c r="L56" i="27"/>
  <c r="G57" i="27"/>
  <c r="H57" i="27"/>
  <c r="I57" i="27"/>
  <c r="J57" i="27"/>
  <c r="L57" i="27"/>
  <c r="G58" i="27"/>
  <c r="H58" i="27"/>
  <c r="I58" i="27"/>
  <c r="J58" i="27"/>
  <c r="L58" i="27"/>
  <c r="G59" i="27"/>
  <c r="H59" i="27"/>
  <c r="I59" i="27"/>
  <c r="J59" i="27"/>
  <c r="L59" i="27"/>
  <c r="G60" i="27"/>
  <c r="H60" i="27"/>
  <c r="I60" i="27"/>
  <c r="J60" i="27"/>
  <c r="L60" i="27"/>
  <c r="J29" i="27"/>
  <c r="C58" i="28"/>
  <c r="C59" i="28"/>
  <c r="C60" i="28"/>
  <c r="C61" i="28"/>
  <c r="C62" i="28"/>
  <c r="I58" i="28"/>
  <c r="I59" i="28"/>
  <c r="I60" i="28"/>
  <c r="I61" i="28"/>
  <c r="I62" i="28"/>
  <c r="J58" i="28"/>
  <c r="J59" i="28"/>
  <c r="J60" i="28"/>
  <c r="J61" i="28"/>
  <c r="J62" i="28"/>
  <c r="K58" i="28"/>
  <c r="K59" i="28"/>
  <c r="K60" i="28"/>
  <c r="K61" i="28"/>
  <c r="K62" i="28"/>
  <c r="L58" i="28"/>
  <c r="L59" i="28"/>
  <c r="L60" i="28"/>
  <c r="L61" i="28"/>
  <c r="L62" i="28"/>
  <c r="N51" i="28"/>
  <c r="N52" i="28"/>
  <c r="N53" i="28"/>
  <c r="N54" i="28"/>
  <c r="N55" i="28"/>
  <c r="N56" i="28"/>
  <c r="N58" i="28"/>
  <c r="N59" i="28"/>
  <c r="N60" i="28"/>
  <c r="N61" i="28"/>
  <c r="N62" i="28"/>
  <c r="O58" i="28"/>
  <c r="O59" i="28"/>
  <c r="O60" i="28"/>
  <c r="O61" i="28"/>
  <c r="O62" i="28"/>
  <c r="E49" i="3"/>
  <c r="F49" i="3"/>
  <c r="G49" i="3"/>
  <c r="D53" i="27" s="1"/>
  <c r="H49" i="3"/>
  <c r="I49" i="3"/>
  <c r="E53" i="27" s="1"/>
  <c r="J49" i="3"/>
  <c r="F53" i="27" s="1"/>
  <c r="O49" i="3"/>
  <c r="E50" i="3"/>
  <c r="F50" i="3"/>
  <c r="G50" i="3"/>
  <c r="D38" i="27" s="1"/>
  <c r="H50" i="3"/>
  <c r="I50" i="3"/>
  <c r="E38" i="27" s="1"/>
  <c r="J50" i="3"/>
  <c r="F38" i="27" s="1"/>
  <c r="O50" i="3"/>
  <c r="E51" i="3"/>
  <c r="F51" i="3"/>
  <c r="G51" i="3"/>
  <c r="D14" i="27" s="1"/>
  <c r="H51" i="3"/>
  <c r="I51" i="3"/>
  <c r="E14" i="27" s="1"/>
  <c r="J51" i="3"/>
  <c r="F14" i="27" s="1"/>
  <c r="O51" i="3"/>
  <c r="E52" i="3"/>
  <c r="C54" i="27" s="1"/>
  <c r="F52" i="3"/>
  <c r="G52" i="3"/>
  <c r="D54" i="27" s="1"/>
  <c r="H52" i="3"/>
  <c r="I52" i="3"/>
  <c r="E54" i="27" s="1"/>
  <c r="J52" i="3"/>
  <c r="F54" i="27" s="1"/>
  <c r="O52" i="3"/>
  <c r="E53" i="3"/>
  <c r="C55" i="27" s="1"/>
  <c r="F53" i="3"/>
  <c r="G53" i="3"/>
  <c r="D55" i="27" s="1"/>
  <c r="H53" i="3"/>
  <c r="I53" i="3"/>
  <c r="E55" i="27" s="1"/>
  <c r="J53" i="3"/>
  <c r="F55" i="27" s="1"/>
  <c r="O53" i="3"/>
  <c r="K55" i="27" s="1"/>
  <c r="M55" i="27" s="1"/>
  <c r="Q53" i="3"/>
  <c r="E54" i="3"/>
  <c r="C56" i="27" s="1"/>
  <c r="F54" i="3"/>
  <c r="G54" i="3"/>
  <c r="D56" i="27" s="1"/>
  <c r="H54" i="3"/>
  <c r="I54" i="3"/>
  <c r="E56" i="27" s="1"/>
  <c r="J54" i="3"/>
  <c r="F56" i="27" s="1"/>
  <c r="O54" i="3"/>
  <c r="E55" i="3"/>
  <c r="C57" i="27" s="1"/>
  <c r="F55" i="3"/>
  <c r="G55" i="3"/>
  <c r="D57" i="27" s="1"/>
  <c r="H55" i="3"/>
  <c r="I55" i="3"/>
  <c r="E57" i="27" s="1"/>
  <c r="J55" i="3"/>
  <c r="F57" i="27" s="1"/>
  <c r="O55" i="3"/>
  <c r="E56" i="3"/>
  <c r="F56" i="3"/>
  <c r="G56" i="3"/>
  <c r="H56" i="3"/>
  <c r="F58" i="28" s="1"/>
  <c r="I56" i="3"/>
  <c r="J56" i="3"/>
  <c r="O56" i="3"/>
  <c r="E57" i="3"/>
  <c r="F57" i="3"/>
  <c r="G57" i="3"/>
  <c r="H57" i="3"/>
  <c r="F59" i="28" s="1"/>
  <c r="I57" i="3"/>
  <c r="J57" i="3"/>
  <c r="O57" i="3"/>
  <c r="E58" i="3"/>
  <c r="F58" i="3"/>
  <c r="G58" i="3"/>
  <c r="H58" i="3"/>
  <c r="F60" i="28" s="1"/>
  <c r="I58" i="3"/>
  <c r="J58" i="3"/>
  <c r="O58" i="3"/>
  <c r="Q58" i="3"/>
  <c r="E59" i="3"/>
  <c r="F59" i="3"/>
  <c r="G59" i="3"/>
  <c r="H59" i="3"/>
  <c r="F61" i="28" s="1"/>
  <c r="I59" i="3"/>
  <c r="J59" i="3"/>
  <c r="O59" i="3"/>
  <c r="M61" i="28" s="1"/>
  <c r="Q59" i="3"/>
  <c r="E60" i="3"/>
  <c r="F60" i="3"/>
  <c r="G60" i="3"/>
  <c r="H60" i="3"/>
  <c r="F62" i="28" s="1"/>
  <c r="I60" i="3"/>
  <c r="J60" i="3"/>
  <c r="O60" i="3"/>
  <c r="E61" i="3"/>
  <c r="C63" i="27" s="1"/>
  <c r="F61" i="3"/>
  <c r="G61" i="3"/>
  <c r="D63" i="27" s="1"/>
  <c r="H61" i="3"/>
  <c r="I61" i="3"/>
  <c r="E63" i="27" s="1"/>
  <c r="J61" i="3"/>
  <c r="F63" i="27" s="1"/>
  <c r="O61" i="3"/>
  <c r="Q61" i="3"/>
  <c r="E62" i="3"/>
  <c r="C64" i="27" s="1"/>
  <c r="F62" i="3"/>
  <c r="G62" i="3"/>
  <c r="D64" i="27" s="1"/>
  <c r="H62" i="3"/>
  <c r="I62" i="3"/>
  <c r="E64" i="27" s="1"/>
  <c r="J62" i="3"/>
  <c r="F64" i="27" s="1"/>
  <c r="O62" i="3"/>
  <c r="Q62" i="3" s="1"/>
  <c r="E63" i="3"/>
  <c r="C65" i="27" s="1"/>
  <c r="F63" i="3"/>
  <c r="G63" i="3"/>
  <c r="D65" i="27" s="1"/>
  <c r="H63" i="3"/>
  <c r="I63" i="3"/>
  <c r="E65" i="27" s="1"/>
  <c r="J63" i="3"/>
  <c r="F65" i="27" s="1"/>
  <c r="O63" i="3"/>
  <c r="Q63" i="3" s="1"/>
  <c r="L44" i="27"/>
  <c r="L42" i="27"/>
  <c r="L37" i="27"/>
  <c r="L9" i="27"/>
  <c r="L6" i="27"/>
  <c r="L8" i="27"/>
  <c r="L45" i="27"/>
  <c r="L32" i="27"/>
  <c r="L12" i="27"/>
  <c r="L43" i="27"/>
  <c r="L7" i="27"/>
  <c r="L15" i="27"/>
  <c r="L20" i="27"/>
  <c r="L16" i="27"/>
  <c r="L18" i="27"/>
  <c r="L11" i="27"/>
  <c r="L30" i="27"/>
  <c r="L23" i="27"/>
  <c r="L52" i="27"/>
  <c r="L10" i="27"/>
  <c r="L39" i="27"/>
  <c r="L19" i="27"/>
  <c r="L24" i="27"/>
  <c r="L40" i="27"/>
  <c r="L49" i="27"/>
  <c r="L47" i="27"/>
  <c r="L17" i="27"/>
  <c r="L48" i="27"/>
  <c r="L33" i="27"/>
  <c r="L25" i="27"/>
  <c r="L50" i="27"/>
  <c r="L35" i="27"/>
  <c r="L28" i="27"/>
  <c r="L31" i="27"/>
  <c r="L27" i="27"/>
  <c r="L26" i="27"/>
  <c r="L21" i="27"/>
  <c r="L46" i="27"/>
  <c r="L22" i="27"/>
  <c r="L41" i="27"/>
  <c r="L51" i="27"/>
  <c r="L29" i="27"/>
  <c r="L36" i="27"/>
  <c r="L13" i="27"/>
  <c r="L34" i="27"/>
  <c r="J18" i="27"/>
  <c r="J11" i="27"/>
  <c r="J34" i="27"/>
  <c r="C7" i="28"/>
  <c r="C8" i="28"/>
  <c r="C9" i="28"/>
  <c r="C10" i="28"/>
  <c r="C11" i="28"/>
  <c r="C57" i="28"/>
  <c r="I57" i="28"/>
  <c r="J57" i="28"/>
  <c r="K57" i="28"/>
  <c r="L57" i="28"/>
  <c r="N57" i="28"/>
  <c r="C49" i="28"/>
  <c r="I49" i="28"/>
  <c r="J49" i="28"/>
  <c r="K49" i="28"/>
  <c r="L49" i="28"/>
  <c r="C36" i="28"/>
  <c r="I36" i="28"/>
  <c r="J36" i="28"/>
  <c r="K36" i="28"/>
  <c r="L36" i="28"/>
  <c r="C51" i="28"/>
  <c r="I51" i="28"/>
  <c r="J51" i="28"/>
  <c r="K51" i="28"/>
  <c r="L51" i="28"/>
  <c r="C48" i="28"/>
  <c r="I48" i="28"/>
  <c r="J48" i="28"/>
  <c r="K48" i="28"/>
  <c r="L48" i="28"/>
  <c r="C21" i="28"/>
  <c r="I21" i="28"/>
  <c r="J21" i="28"/>
  <c r="K21" i="28"/>
  <c r="L21" i="28"/>
  <c r="C30" i="28"/>
  <c r="I30" i="28"/>
  <c r="J30" i="28"/>
  <c r="K30" i="28"/>
  <c r="L30" i="28"/>
  <c r="C23" i="28"/>
  <c r="I23" i="28"/>
  <c r="J23" i="28"/>
  <c r="K23" i="28"/>
  <c r="L23" i="28"/>
  <c r="C34" i="28"/>
  <c r="I34" i="28"/>
  <c r="J34" i="28"/>
  <c r="K34" i="28"/>
  <c r="L34" i="28"/>
  <c r="C20" i="28"/>
  <c r="I20" i="28"/>
  <c r="J20" i="28"/>
  <c r="K20" i="28"/>
  <c r="L20" i="28"/>
  <c r="I7" i="28"/>
  <c r="J7" i="28"/>
  <c r="K7" i="28"/>
  <c r="L7" i="28"/>
  <c r="C22" i="28"/>
  <c r="I22" i="28"/>
  <c r="J22" i="28"/>
  <c r="K22" i="28"/>
  <c r="L22" i="28"/>
  <c r="I10" i="28"/>
  <c r="J10" i="28"/>
  <c r="K10" i="28"/>
  <c r="L10" i="28"/>
  <c r="C6" i="28"/>
  <c r="I6" i="28"/>
  <c r="J6" i="28"/>
  <c r="K6" i="28"/>
  <c r="L6" i="28"/>
  <c r="C45" i="28"/>
  <c r="I45" i="28"/>
  <c r="J45" i="28"/>
  <c r="K45" i="28"/>
  <c r="L45" i="28"/>
  <c r="C33" i="28"/>
  <c r="I33" i="28"/>
  <c r="J33" i="28"/>
  <c r="K33" i="28"/>
  <c r="L33" i="28"/>
  <c r="C41" i="28"/>
  <c r="I41" i="28"/>
  <c r="J41" i="28"/>
  <c r="K41" i="28"/>
  <c r="L41" i="28"/>
  <c r="C28" i="28"/>
  <c r="I28" i="28"/>
  <c r="J28" i="28"/>
  <c r="K28" i="28"/>
  <c r="L28" i="28"/>
  <c r="C32" i="28"/>
  <c r="I32" i="28"/>
  <c r="J32" i="28"/>
  <c r="K32" i="28"/>
  <c r="L32" i="28"/>
  <c r="C53" i="28"/>
  <c r="I53" i="28"/>
  <c r="J53" i="28"/>
  <c r="K53" i="28"/>
  <c r="L53" i="28"/>
  <c r="C35" i="28"/>
  <c r="I35" i="28"/>
  <c r="J35" i="28"/>
  <c r="K35" i="28"/>
  <c r="L35" i="28"/>
  <c r="I11" i="28"/>
  <c r="J11" i="28"/>
  <c r="K11" i="28"/>
  <c r="L11" i="28"/>
  <c r="C50" i="28"/>
  <c r="I50" i="28"/>
  <c r="J50" i="28"/>
  <c r="K50" i="28"/>
  <c r="L50" i="28"/>
  <c r="C38" i="28"/>
  <c r="I38" i="28"/>
  <c r="J38" i="28"/>
  <c r="K38" i="28"/>
  <c r="L38" i="28"/>
  <c r="C46" i="28"/>
  <c r="I46" i="28"/>
  <c r="J46" i="28"/>
  <c r="K46" i="28"/>
  <c r="L46" i="28"/>
  <c r="C54" i="28"/>
  <c r="I54" i="28"/>
  <c r="J54" i="28"/>
  <c r="K54" i="28"/>
  <c r="L54" i="28"/>
  <c r="C14" i="28"/>
  <c r="I14" i="28"/>
  <c r="J14" i="28"/>
  <c r="K14" i="28"/>
  <c r="L14" i="28"/>
  <c r="C29" i="28"/>
  <c r="I29" i="28"/>
  <c r="J29" i="28"/>
  <c r="K29" i="28"/>
  <c r="L29" i="28"/>
  <c r="C31" i="28"/>
  <c r="I31" i="28"/>
  <c r="J31" i="28"/>
  <c r="K31" i="28"/>
  <c r="L31" i="28"/>
  <c r="C56" i="28"/>
  <c r="I56" i="28"/>
  <c r="J56" i="28"/>
  <c r="K56" i="28"/>
  <c r="L56" i="28"/>
  <c r="C42" i="28"/>
  <c r="I42" i="28"/>
  <c r="J42" i="28"/>
  <c r="K42" i="28"/>
  <c r="L42" i="28"/>
  <c r="C40" i="28"/>
  <c r="I40" i="28"/>
  <c r="J40" i="28"/>
  <c r="K40" i="28"/>
  <c r="L40" i="28"/>
  <c r="C26" i="28"/>
  <c r="I26" i="28"/>
  <c r="J26" i="28"/>
  <c r="K26" i="28"/>
  <c r="L26" i="28"/>
  <c r="C43" i="28"/>
  <c r="I43" i="28"/>
  <c r="J43" i="28"/>
  <c r="K43" i="28"/>
  <c r="L43" i="28"/>
  <c r="C15" i="28"/>
  <c r="I15" i="28"/>
  <c r="J15" i="28"/>
  <c r="K15" i="28"/>
  <c r="L15" i="28"/>
  <c r="I9" i="28"/>
  <c r="J9" i="28"/>
  <c r="K9" i="28"/>
  <c r="L9" i="28"/>
  <c r="C27" i="28"/>
  <c r="I27" i="28"/>
  <c r="J27" i="28"/>
  <c r="K27" i="28"/>
  <c r="L27" i="28"/>
  <c r="C24" i="28"/>
  <c r="I24" i="28"/>
  <c r="J24" i="28"/>
  <c r="K24" i="28"/>
  <c r="L24" i="28"/>
  <c r="C13" i="28"/>
  <c r="I13" i="28"/>
  <c r="J13" i="28"/>
  <c r="K13" i="28"/>
  <c r="L13" i="28"/>
  <c r="C47" i="28"/>
  <c r="I47" i="28"/>
  <c r="J47" i="28"/>
  <c r="K47" i="28"/>
  <c r="L47" i="28"/>
  <c r="C52" i="28"/>
  <c r="I52" i="28"/>
  <c r="J52" i="28"/>
  <c r="K52" i="28"/>
  <c r="L52" i="28"/>
  <c r="C12" i="28"/>
  <c r="I12" i="28"/>
  <c r="J12" i="28"/>
  <c r="K12" i="28"/>
  <c r="L12" i="28"/>
  <c r="I8" i="28"/>
  <c r="J8" i="28"/>
  <c r="K8" i="28"/>
  <c r="L8" i="28"/>
  <c r="C16" i="28"/>
  <c r="I16" i="28"/>
  <c r="J16" i="28"/>
  <c r="K16" i="28"/>
  <c r="L16" i="28"/>
  <c r="C17" i="28"/>
  <c r="I17" i="28"/>
  <c r="J17" i="28"/>
  <c r="K17" i="28"/>
  <c r="L17" i="28"/>
  <c r="C18" i="28"/>
  <c r="I18" i="28"/>
  <c r="J18" i="28"/>
  <c r="K18" i="28"/>
  <c r="L18" i="28"/>
  <c r="C39" i="28"/>
  <c r="I39" i="28"/>
  <c r="J39" i="28"/>
  <c r="K39" i="28"/>
  <c r="L39" i="28"/>
  <c r="C55" i="28"/>
  <c r="I55" i="28"/>
  <c r="J55" i="28"/>
  <c r="K55" i="28"/>
  <c r="L55" i="28"/>
  <c r="C37" i="28"/>
  <c r="I37" i="28"/>
  <c r="J37" i="28"/>
  <c r="K37" i="28"/>
  <c r="L37" i="28"/>
  <c r="C19" i="28"/>
  <c r="I19" i="28"/>
  <c r="J19" i="28"/>
  <c r="K19" i="28"/>
  <c r="L19" i="28"/>
  <c r="C25" i="28"/>
  <c r="I25" i="28"/>
  <c r="J25" i="28"/>
  <c r="K25" i="28"/>
  <c r="L25" i="28"/>
  <c r="L44" i="28"/>
  <c r="K44" i="28"/>
  <c r="J44" i="28"/>
  <c r="I44" i="28"/>
  <c r="C44" i="28"/>
  <c r="J7" i="27"/>
  <c r="O5" i="3"/>
  <c r="M49" i="28" s="1"/>
  <c r="O49" i="28" s="1"/>
  <c r="O4" i="3"/>
  <c r="Q4" i="3" s="1"/>
  <c r="B34" i="27"/>
  <c r="G34" i="27"/>
  <c r="H34" i="27"/>
  <c r="I34" i="27"/>
  <c r="J9" i="27"/>
  <c r="J6" i="27"/>
  <c r="J8" i="27"/>
  <c r="J45" i="27"/>
  <c r="J32" i="27"/>
  <c r="J12" i="27"/>
  <c r="J43" i="27"/>
  <c r="J15" i="27"/>
  <c r="J20" i="27"/>
  <c r="J16" i="27"/>
  <c r="J30" i="27"/>
  <c r="J23" i="27"/>
  <c r="J52" i="27"/>
  <c r="J10" i="27"/>
  <c r="J39" i="27"/>
  <c r="J19" i="27"/>
  <c r="J24" i="27"/>
  <c r="J40" i="27"/>
  <c r="J49" i="27"/>
  <c r="J47" i="27"/>
  <c r="J17" i="27"/>
  <c r="J48" i="27"/>
  <c r="J33" i="27"/>
  <c r="J25" i="27"/>
  <c r="J50" i="27"/>
  <c r="J35" i="27"/>
  <c r="J28" i="27"/>
  <c r="J31" i="27"/>
  <c r="J27" i="27"/>
  <c r="J26" i="27"/>
  <c r="J21" i="27"/>
  <c r="J46" i="27"/>
  <c r="J22" i="27"/>
  <c r="J41" i="27"/>
  <c r="J51" i="27"/>
  <c r="I6" i="27"/>
  <c r="I45" i="27"/>
  <c r="I32" i="27"/>
  <c r="I12" i="27"/>
  <c r="I43" i="27"/>
  <c r="I15" i="27"/>
  <c r="I20" i="27"/>
  <c r="I16" i="27"/>
  <c r="I18" i="27"/>
  <c r="I11" i="27"/>
  <c r="I30" i="27"/>
  <c r="I52" i="27"/>
  <c r="I10" i="27"/>
  <c r="I39" i="27"/>
  <c r="I19" i="27"/>
  <c r="I24" i="27"/>
  <c r="I40" i="27"/>
  <c r="I49" i="27"/>
  <c r="I47" i="27"/>
  <c r="I17" i="27"/>
  <c r="I48" i="27"/>
  <c r="I33" i="27"/>
  <c r="I25" i="27"/>
  <c r="I50" i="27"/>
  <c r="I35" i="27"/>
  <c r="I28" i="27"/>
  <c r="I31" i="27"/>
  <c r="I27" i="27"/>
  <c r="I26" i="27"/>
  <c r="I21" i="27"/>
  <c r="I46" i="27"/>
  <c r="I22" i="27"/>
  <c r="I41" i="27"/>
  <c r="I51" i="27"/>
  <c r="I29" i="27"/>
  <c r="H9" i="27"/>
  <c r="H6" i="27"/>
  <c r="H8" i="27"/>
  <c r="H45" i="27"/>
  <c r="H32" i="27"/>
  <c r="H12" i="27"/>
  <c r="H43" i="27"/>
  <c r="H7" i="27"/>
  <c r="H15" i="27"/>
  <c r="H20" i="27"/>
  <c r="H16" i="27"/>
  <c r="H18" i="27"/>
  <c r="H11" i="27"/>
  <c r="H30" i="27"/>
  <c r="H23" i="27"/>
  <c r="H52" i="27"/>
  <c r="H10" i="27"/>
  <c r="H39" i="27"/>
  <c r="H19" i="27"/>
  <c r="H24" i="27"/>
  <c r="H40" i="27"/>
  <c r="H49" i="27"/>
  <c r="H47" i="27"/>
  <c r="H17" i="27"/>
  <c r="H48" i="27"/>
  <c r="H33" i="27"/>
  <c r="H25" i="27"/>
  <c r="H50" i="27"/>
  <c r="H35" i="27"/>
  <c r="H28" i="27"/>
  <c r="H31" i="27"/>
  <c r="H27" i="27"/>
  <c r="H26" i="27"/>
  <c r="H21" i="27"/>
  <c r="H46" i="27"/>
  <c r="H22" i="27"/>
  <c r="H41" i="27"/>
  <c r="H51" i="27"/>
  <c r="H29" i="27"/>
  <c r="G9" i="27"/>
  <c r="G6" i="27"/>
  <c r="G8" i="27"/>
  <c r="G45" i="27"/>
  <c r="G32" i="27"/>
  <c r="G12" i="27"/>
  <c r="G43" i="27"/>
  <c r="G7" i="27"/>
  <c r="G15" i="27"/>
  <c r="G20" i="27"/>
  <c r="G16" i="27"/>
  <c r="G18" i="27"/>
  <c r="G11" i="27"/>
  <c r="G30" i="27"/>
  <c r="G23" i="27"/>
  <c r="G52" i="27"/>
  <c r="G10" i="27"/>
  <c r="G39" i="27"/>
  <c r="G19" i="27"/>
  <c r="G24" i="27"/>
  <c r="G40" i="27"/>
  <c r="G49" i="27"/>
  <c r="G47" i="27"/>
  <c r="G17" i="27"/>
  <c r="G48" i="27"/>
  <c r="G33" i="27"/>
  <c r="G25" i="27"/>
  <c r="G50" i="27"/>
  <c r="G35" i="27"/>
  <c r="G28" i="27"/>
  <c r="G31" i="27"/>
  <c r="G27" i="27"/>
  <c r="G26" i="27"/>
  <c r="G21" i="27"/>
  <c r="G46" i="27"/>
  <c r="G22" i="27"/>
  <c r="G41" i="27"/>
  <c r="G51" i="27"/>
  <c r="G29" i="27"/>
  <c r="B9" i="27"/>
  <c r="B6" i="27"/>
  <c r="B8" i="27"/>
  <c r="B45" i="27"/>
  <c r="B32" i="27"/>
  <c r="B12" i="27"/>
  <c r="B43" i="27"/>
  <c r="B7" i="27"/>
  <c r="B15" i="27"/>
  <c r="B20" i="27"/>
  <c r="B16" i="27"/>
  <c r="B18" i="27"/>
  <c r="B11" i="27"/>
  <c r="B30" i="27"/>
  <c r="B23" i="27"/>
  <c r="B52" i="27"/>
  <c r="B10" i="27"/>
  <c r="B39" i="27"/>
  <c r="B19" i="27"/>
  <c r="B24" i="27"/>
  <c r="B40" i="27"/>
  <c r="B49" i="27"/>
  <c r="B47" i="27"/>
  <c r="B17" i="27"/>
  <c r="B48" i="27"/>
  <c r="B33" i="27"/>
  <c r="B25" i="27"/>
  <c r="B50" i="27"/>
  <c r="B35" i="27"/>
  <c r="B28" i="27"/>
  <c r="B31" i="27"/>
  <c r="B27" i="27"/>
  <c r="B26" i="27"/>
  <c r="B21" i="27"/>
  <c r="B46" i="27"/>
  <c r="B22" i="27"/>
  <c r="B41" i="27"/>
  <c r="B51" i="27"/>
  <c r="B29" i="27"/>
  <c r="J36" i="27"/>
  <c r="J13" i="27"/>
  <c r="J44" i="27"/>
  <c r="J42" i="27"/>
  <c r="J37" i="27"/>
  <c r="I36" i="27"/>
  <c r="I44" i="27"/>
  <c r="I42" i="27"/>
  <c r="I37" i="27"/>
  <c r="H36" i="27"/>
  <c r="H13" i="27"/>
  <c r="H44" i="27"/>
  <c r="H42" i="27"/>
  <c r="H37" i="27"/>
  <c r="G36" i="27"/>
  <c r="G13" i="27"/>
  <c r="G44" i="27"/>
  <c r="G42" i="27"/>
  <c r="G37" i="27"/>
  <c r="B36" i="27"/>
  <c r="B13" i="27"/>
  <c r="B44" i="27"/>
  <c r="B42" i="27"/>
  <c r="B37" i="27"/>
  <c r="E5" i="3"/>
  <c r="E6" i="3"/>
  <c r="B8" i="4" s="1"/>
  <c r="E7" i="3"/>
  <c r="E8" i="3"/>
  <c r="C42" i="27" s="1"/>
  <c r="E9" i="3"/>
  <c r="E10" i="3"/>
  <c r="E11" i="3"/>
  <c r="E12" i="3"/>
  <c r="D34" i="28" s="1"/>
  <c r="E13" i="3"/>
  <c r="B9" i="5" s="1"/>
  <c r="E14" i="3"/>
  <c r="B30" i="5" s="1"/>
  <c r="E15" i="3"/>
  <c r="E16" i="3"/>
  <c r="E17" i="3"/>
  <c r="E18" i="3"/>
  <c r="E19" i="3"/>
  <c r="E20" i="3"/>
  <c r="D41" i="28" s="1"/>
  <c r="E21" i="3"/>
  <c r="B11" i="6" s="1"/>
  <c r="E22" i="3"/>
  <c r="B26" i="7" s="1"/>
  <c r="E23" i="3"/>
  <c r="E24" i="3"/>
  <c r="E25" i="3"/>
  <c r="E26" i="3"/>
  <c r="E27" i="3"/>
  <c r="E28" i="3"/>
  <c r="E29" i="3"/>
  <c r="E30" i="3"/>
  <c r="E31" i="3"/>
  <c r="E32" i="3"/>
  <c r="D31" i="28" s="1"/>
  <c r="E33" i="3"/>
  <c r="B11" i="8" s="1"/>
  <c r="E34" i="3"/>
  <c r="B6" i="9" s="1"/>
  <c r="E35" i="3"/>
  <c r="E36" i="3"/>
  <c r="E37" i="3"/>
  <c r="B29" i="9" s="1"/>
  <c r="E38" i="3"/>
  <c r="B10" i="9" s="1"/>
  <c r="E39" i="3"/>
  <c r="E40" i="3"/>
  <c r="D27" i="28" s="1"/>
  <c r="E41" i="3"/>
  <c r="E42" i="3"/>
  <c r="B28" i="10" s="1"/>
  <c r="E43" i="3"/>
  <c r="E44" i="3"/>
  <c r="E45" i="3"/>
  <c r="B11" i="10" s="1"/>
  <c r="E46" i="3"/>
  <c r="E47" i="3"/>
  <c r="E48" i="3"/>
  <c r="B28" i="11" s="1"/>
  <c r="E64" i="3"/>
  <c r="E65" i="3"/>
  <c r="E66" i="3"/>
  <c r="E67" i="3"/>
  <c r="E68" i="3"/>
  <c r="B27" i="12" s="1"/>
  <c r="E69" i="3"/>
  <c r="E70" i="3"/>
  <c r="D57" i="28" s="1"/>
  <c r="E71" i="3"/>
  <c r="E72" i="3"/>
  <c r="B11" i="12" s="1"/>
  <c r="E73" i="3"/>
  <c r="E74" i="3"/>
  <c r="E75" i="3"/>
  <c r="E76" i="3"/>
  <c r="B29" i="13" s="1"/>
  <c r="E77" i="3"/>
  <c r="B30" i="13" s="1"/>
  <c r="E78" i="3"/>
  <c r="E79" i="3"/>
  <c r="E80" i="3"/>
  <c r="E81" i="3"/>
  <c r="B28" i="14" s="1"/>
  <c r="E82" i="3"/>
  <c r="E83" i="3"/>
  <c r="E84" i="3"/>
  <c r="B31" i="14" s="1"/>
  <c r="E85" i="3"/>
  <c r="B6" i="15" s="1"/>
  <c r="E86" i="3"/>
  <c r="E87" i="3"/>
  <c r="E88" i="3"/>
  <c r="B9" i="15" s="1"/>
  <c r="E89" i="3"/>
  <c r="B30" i="15" s="1"/>
  <c r="E90" i="3"/>
  <c r="E91" i="3"/>
  <c r="E92" i="3"/>
  <c r="B27" i="16" s="1"/>
  <c r="E93" i="3"/>
  <c r="B28" i="16" s="1"/>
  <c r="E94" i="3"/>
  <c r="E95" i="3"/>
  <c r="E96" i="3"/>
  <c r="B11" i="16" s="1"/>
  <c r="E97" i="3"/>
  <c r="B6" i="17" s="1"/>
  <c r="E98" i="3"/>
  <c r="E99" i="3"/>
  <c r="E100" i="3"/>
  <c r="E101" i="3"/>
  <c r="B10" i="17" s="1"/>
  <c r="E102" i="3"/>
  <c r="E103" i="3"/>
  <c r="E104" i="3"/>
  <c r="B27" i="18" s="1"/>
  <c r="E105" i="3"/>
  <c r="B8" i="18" s="1"/>
  <c r="E106" i="3"/>
  <c r="E107" i="3"/>
  <c r="E108" i="3"/>
  <c r="E109" i="3"/>
  <c r="B6" i="19" s="1"/>
  <c r="E110" i="3"/>
  <c r="E111" i="3"/>
  <c r="E112" i="3"/>
  <c r="E113" i="3"/>
  <c r="B10" i="19" s="1"/>
  <c r="E114" i="3"/>
  <c r="B31" i="19" s="1"/>
  <c r="E115" i="3"/>
  <c r="E116" i="3"/>
  <c r="B7" i="20" s="1"/>
  <c r="E117" i="3"/>
  <c r="B8" i="20" s="1"/>
  <c r="E118" i="3"/>
  <c r="E119" i="3"/>
  <c r="E120" i="3"/>
  <c r="E121" i="3"/>
  <c r="B6" i="21" s="1"/>
  <c r="E122" i="3"/>
  <c r="E123" i="3"/>
  <c r="B28" i="21" s="1"/>
  <c r="E124" i="3"/>
  <c r="B29" i="21" s="1"/>
  <c r="E125" i="3"/>
  <c r="B30" i="21" s="1"/>
  <c r="E126" i="3"/>
  <c r="E127" i="3"/>
  <c r="E128" i="3"/>
  <c r="B7" i="22" s="1"/>
  <c r="E129" i="3"/>
  <c r="B8" i="22" s="1"/>
  <c r="E130" i="3"/>
  <c r="E131" i="3"/>
  <c r="B10" i="22" s="1"/>
  <c r="E132" i="3"/>
  <c r="E133" i="3"/>
  <c r="B6" i="23" s="1"/>
  <c r="E134" i="3"/>
  <c r="E135" i="3"/>
  <c r="E136" i="3"/>
  <c r="E137" i="3"/>
  <c r="B10" i="23" s="1"/>
  <c r="E138" i="3"/>
  <c r="E139" i="3"/>
  <c r="E140" i="3"/>
  <c r="E141" i="3"/>
  <c r="B8" i="24" s="1"/>
  <c r="E142" i="3"/>
  <c r="B9" i="24" s="1"/>
  <c r="E143" i="3"/>
  <c r="E144" i="3"/>
  <c r="B11" i="24" s="1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64" i="3"/>
  <c r="J65" i="3"/>
  <c r="J66" i="3"/>
  <c r="J67" i="3"/>
  <c r="J68" i="3"/>
  <c r="J69" i="3"/>
  <c r="J70" i="3"/>
  <c r="H57" i="28" s="1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64" i="3"/>
  <c r="H65" i="3"/>
  <c r="H66" i="3"/>
  <c r="H67" i="3"/>
  <c r="H68" i="3"/>
  <c r="H69" i="3"/>
  <c r="H70" i="3"/>
  <c r="F57" i="28" s="1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D25" i="27" s="1"/>
  <c r="G37" i="3"/>
  <c r="G38" i="3"/>
  <c r="G39" i="3"/>
  <c r="G40" i="3"/>
  <c r="G41" i="3"/>
  <c r="G42" i="3"/>
  <c r="G43" i="3"/>
  <c r="G44" i="3"/>
  <c r="D46" i="27" s="1"/>
  <c r="G45" i="3"/>
  <c r="G46" i="3"/>
  <c r="G47" i="3"/>
  <c r="G48" i="3"/>
  <c r="G64" i="3"/>
  <c r="G65" i="3"/>
  <c r="G66" i="3"/>
  <c r="G67" i="3"/>
  <c r="G68" i="3"/>
  <c r="G69" i="3"/>
  <c r="G70" i="3"/>
  <c r="E57" i="28" s="1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5" i="3"/>
  <c r="F6" i="3"/>
  <c r="F7" i="3"/>
  <c r="F8" i="3"/>
  <c r="F9" i="3"/>
  <c r="F10" i="3"/>
  <c r="F11" i="3"/>
  <c r="F12" i="3"/>
  <c r="F4" i="3"/>
  <c r="J4" i="3"/>
  <c r="F34" i="27" s="1"/>
  <c r="I4" i="3"/>
  <c r="H4" i="3"/>
  <c r="G4" i="3"/>
  <c r="D34" i="27" s="1"/>
  <c r="E4" i="3"/>
  <c r="D44" i="28" s="1"/>
  <c r="O14" i="3"/>
  <c r="Q14" i="3" s="1"/>
  <c r="O17" i="3"/>
  <c r="Q17" i="3" s="1"/>
  <c r="O46" i="3"/>
  <c r="Q46" i="3" s="1"/>
  <c r="O39" i="3"/>
  <c r="Q39" i="3" s="1"/>
  <c r="O16" i="3"/>
  <c r="Q16" i="3" s="1"/>
  <c r="O25" i="3"/>
  <c r="Q25" i="3" s="1"/>
  <c r="O45" i="3"/>
  <c r="Q45" i="3" s="1"/>
  <c r="O42" i="3"/>
  <c r="Q42" i="3" s="1"/>
  <c r="O30" i="3"/>
  <c r="Q30" i="3" s="1"/>
  <c r="O38" i="3"/>
  <c r="Q38" i="3" s="1"/>
  <c r="O47" i="3"/>
  <c r="Q47" i="3" s="1"/>
  <c r="O48" i="3"/>
  <c r="Q48" i="3" s="1"/>
  <c r="O64" i="3"/>
  <c r="Q64" i="3" s="1"/>
  <c r="O68" i="3"/>
  <c r="Q68" i="3" s="1"/>
  <c r="O13" i="3"/>
  <c r="K45" i="27" s="1"/>
  <c r="O9" i="3"/>
  <c r="Q9" i="3" s="1"/>
  <c r="O15" i="3"/>
  <c r="Q15" i="3" s="1"/>
  <c r="O11" i="3"/>
  <c r="Q11" i="3" s="1"/>
  <c r="O41" i="3"/>
  <c r="Q41" i="3" s="1"/>
  <c r="O69" i="3"/>
  <c r="Q69" i="3" s="1"/>
  <c r="O36" i="3"/>
  <c r="Q36" i="3" s="1"/>
  <c r="O40" i="3"/>
  <c r="K31" i="27" s="1"/>
  <c r="O21" i="3"/>
  <c r="Q21" i="3" s="1"/>
  <c r="O31" i="3"/>
  <c r="Q31" i="3" s="1"/>
  <c r="O10" i="3"/>
  <c r="Q10" i="3" s="1"/>
  <c r="O32" i="3"/>
  <c r="Q32" i="3" s="1"/>
  <c r="O22" i="3"/>
  <c r="Q22" i="3" s="1"/>
  <c r="O19" i="3"/>
  <c r="Q19" i="3" s="1"/>
  <c r="O12" i="3"/>
  <c r="Q12" i="3" s="1"/>
  <c r="O24" i="3"/>
  <c r="Q24" i="3" s="1"/>
  <c r="O6" i="3"/>
  <c r="Q6" i="3" s="1"/>
  <c r="O67" i="3"/>
  <c r="Q67" i="3" s="1"/>
  <c r="O27" i="3"/>
  <c r="Q27" i="3" s="1"/>
  <c r="O65" i="3"/>
  <c r="Q65" i="3" s="1"/>
  <c r="O35" i="3"/>
  <c r="Q35" i="3" s="1"/>
  <c r="O20" i="3"/>
  <c r="Q20" i="3" s="1"/>
  <c r="O34" i="3"/>
  <c r="Q34" i="3" s="1"/>
  <c r="O37" i="3"/>
  <c r="Q37" i="3" s="1"/>
  <c r="O18" i="3"/>
  <c r="Q18" i="3" s="1"/>
  <c r="O28" i="3"/>
  <c r="Q28" i="3" s="1"/>
  <c r="O43" i="3"/>
  <c r="Q43" i="3" s="1"/>
  <c r="O8" i="3"/>
  <c r="Q8" i="3" s="1"/>
  <c r="O26" i="3"/>
  <c r="Q26" i="3" s="1"/>
  <c r="O7" i="3"/>
  <c r="Q7" i="3" s="1"/>
  <c r="O44" i="3"/>
  <c r="Q44" i="3" s="1"/>
  <c r="O23" i="3"/>
  <c r="Q23" i="3" s="1"/>
  <c r="O29" i="3"/>
  <c r="Q29" i="3" s="1"/>
  <c r="O66" i="3"/>
  <c r="O33" i="3"/>
  <c r="Q33" i="3" s="1"/>
  <c r="O70" i="3"/>
  <c r="Q70" i="3" s="1"/>
  <c r="O71" i="3"/>
  <c r="Q71" i="3" s="1"/>
  <c r="O72" i="3"/>
  <c r="Q72" i="3" s="1"/>
  <c r="O73" i="3"/>
  <c r="Q73" i="3" s="1"/>
  <c r="O74" i="3"/>
  <c r="Q74" i="3" s="1"/>
  <c r="O75" i="3"/>
  <c r="Q75" i="3" s="1"/>
  <c r="O76" i="3"/>
  <c r="Q76" i="3" s="1"/>
  <c r="O77" i="3"/>
  <c r="Q77" i="3" s="1"/>
  <c r="O78" i="3"/>
  <c r="Q78" i="3" s="1"/>
  <c r="O79" i="3"/>
  <c r="Q79" i="3" s="1"/>
  <c r="O80" i="3"/>
  <c r="Q80" i="3" s="1"/>
  <c r="O81" i="3"/>
  <c r="Q81" i="3" s="1"/>
  <c r="O82" i="3"/>
  <c r="Q82" i="3" s="1"/>
  <c r="O83" i="3"/>
  <c r="Q83" i="3" s="1"/>
  <c r="O84" i="3"/>
  <c r="Q84" i="3"/>
  <c r="O85" i="3"/>
  <c r="Q85" i="3" s="1"/>
  <c r="O86" i="3"/>
  <c r="Q86" i="3" s="1"/>
  <c r="O87" i="3"/>
  <c r="Q87" i="3" s="1"/>
  <c r="O88" i="3"/>
  <c r="Q88" i="3" s="1"/>
  <c r="O89" i="3"/>
  <c r="Q89" i="3" s="1"/>
  <c r="O90" i="3"/>
  <c r="Q90" i="3" s="1"/>
  <c r="O91" i="3"/>
  <c r="Q91" i="3" s="1"/>
  <c r="O92" i="3"/>
  <c r="Q92" i="3" s="1"/>
  <c r="O93" i="3"/>
  <c r="Q93" i="3" s="1"/>
  <c r="O94" i="3"/>
  <c r="Q94" i="3" s="1"/>
  <c r="O95" i="3"/>
  <c r="Q95" i="3" s="1"/>
  <c r="O96" i="3"/>
  <c r="Q96" i="3"/>
  <c r="O97" i="3"/>
  <c r="Q97" i="3" s="1"/>
  <c r="O98" i="3"/>
  <c r="Q98" i="3" s="1"/>
  <c r="O99" i="3"/>
  <c r="Q99" i="3" s="1"/>
  <c r="O100" i="3"/>
  <c r="Q100" i="3"/>
  <c r="O101" i="3"/>
  <c r="Q101" i="3" s="1"/>
  <c r="O102" i="3"/>
  <c r="Q102" i="3" s="1"/>
  <c r="O103" i="3"/>
  <c r="Q103" i="3" s="1"/>
  <c r="O104" i="3"/>
  <c r="Q104" i="3" s="1"/>
  <c r="O105" i="3"/>
  <c r="Q105" i="3" s="1"/>
  <c r="O106" i="3"/>
  <c r="Q106" i="3" s="1"/>
  <c r="O107" i="3"/>
  <c r="Q107" i="3" s="1"/>
  <c r="O108" i="3"/>
  <c r="Q108" i="3" s="1"/>
  <c r="O109" i="3"/>
  <c r="Q109" i="3" s="1"/>
  <c r="O110" i="3"/>
  <c r="Q110" i="3" s="1"/>
  <c r="O111" i="3"/>
  <c r="Q111" i="3" s="1"/>
  <c r="O112" i="3"/>
  <c r="Q112" i="3"/>
  <c r="O113" i="3"/>
  <c r="Q113" i="3" s="1"/>
  <c r="O114" i="3"/>
  <c r="Q114" i="3" s="1"/>
  <c r="O115" i="3"/>
  <c r="Q115" i="3" s="1"/>
  <c r="O116" i="3"/>
  <c r="Q116" i="3" s="1"/>
  <c r="O117" i="3"/>
  <c r="Q117" i="3" s="1"/>
  <c r="O118" i="3"/>
  <c r="Q118" i="3" s="1"/>
  <c r="O119" i="3"/>
  <c r="Q119" i="3" s="1"/>
  <c r="O120" i="3"/>
  <c r="Q120" i="3" s="1"/>
  <c r="O121" i="3"/>
  <c r="Q121" i="3" s="1"/>
  <c r="O122" i="3"/>
  <c r="Q122" i="3" s="1"/>
  <c r="O123" i="3"/>
  <c r="Q123" i="3" s="1"/>
  <c r="O124" i="3"/>
  <c r="Q124" i="3" s="1"/>
  <c r="O125" i="3"/>
  <c r="Q125" i="3" s="1"/>
  <c r="O126" i="3"/>
  <c r="Q126" i="3" s="1"/>
  <c r="O127" i="3"/>
  <c r="Q127" i="3" s="1"/>
  <c r="O128" i="3"/>
  <c r="Q128" i="3" s="1"/>
  <c r="O129" i="3"/>
  <c r="Q129" i="3" s="1"/>
  <c r="O130" i="3"/>
  <c r="Q130" i="3" s="1"/>
  <c r="O131" i="3"/>
  <c r="Q131" i="3" s="1"/>
  <c r="O132" i="3"/>
  <c r="Q132" i="3"/>
  <c r="O133" i="3"/>
  <c r="Q133" i="3" s="1"/>
  <c r="O134" i="3"/>
  <c r="Q134" i="3" s="1"/>
  <c r="O135" i="3"/>
  <c r="Q135" i="3" s="1"/>
  <c r="O136" i="3"/>
  <c r="Q136" i="3" s="1"/>
  <c r="O137" i="3"/>
  <c r="Q137" i="3" s="1"/>
  <c r="O138" i="3"/>
  <c r="Q138" i="3" s="1"/>
  <c r="O139" i="3"/>
  <c r="Q139" i="3" s="1"/>
  <c r="O140" i="3"/>
  <c r="Q140" i="3" s="1"/>
  <c r="O141" i="3"/>
  <c r="Q141" i="3" s="1"/>
  <c r="O142" i="3"/>
  <c r="Q142" i="3" s="1"/>
  <c r="O143" i="3"/>
  <c r="Q143" i="3" s="1"/>
  <c r="O144" i="3"/>
  <c r="Q144" i="3"/>
  <c r="C53" i="27" l="1"/>
  <c r="B29" i="11"/>
  <c r="B9" i="11"/>
  <c r="C38" i="27"/>
  <c r="B30" i="11"/>
  <c r="B10" i="11"/>
  <c r="C14" i="27"/>
  <c r="B31" i="11"/>
  <c r="B11" i="11"/>
  <c r="K38" i="27"/>
  <c r="M38" i="27" s="1"/>
  <c r="Q50" i="3"/>
  <c r="M31" i="27"/>
  <c r="K14" i="27"/>
  <c r="M14" i="27" s="1"/>
  <c r="Q51" i="3"/>
  <c r="D61" i="28"/>
  <c r="C61" i="27"/>
  <c r="E61" i="28"/>
  <c r="D61" i="27"/>
  <c r="G61" i="28"/>
  <c r="E61" i="27"/>
  <c r="H61" i="28"/>
  <c r="F61" i="27"/>
  <c r="D62" i="28"/>
  <c r="C62" i="27"/>
  <c r="E62" i="28"/>
  <c r="D62" i="27"/>
  <c r="G62" i="28"/>
  <c r="E62" i="27"/>
  <c r="H62" i="28"/>
  <c r="F62" i="27"/>
  <c r="Q49" i="3"/>
  <c r="K53" i="27"/>
  <c r="M53" i="27" s="1"/>
  <c r="Q52" i="3"/>
  <c r="K54" i="27"/>
  <c r="M54" i="27" s="1"/>
  <c r="Q54" i="3"/>
  <c r="K56" i="27"/>
  <c r="M56" i="27" s="1"/>
  <c r="Q55" i="3"/>
  <c r="K57" i="27"/>
  <c r="M57" i="27" s="1"/>
  <c r="Q56" i="3"/>
  <c r="K58" i="27"/>
  <c r="M58" i="27" s="1"/>
  <c r="M58" i="28"/>
  <c r="Q57" i="3"/>
  <c r="K59" i="27"/>
  <c r="M59" i="27" s="1"/>
  <c r="M59" i="28"/>
  <c r="K60" i="27"/>
  <c r="M60" i="27" s="1"/>
  <c r="M60" i="28"/>
  <c r="Q60" i="3"/>
  <c r="M62" i="28"/>
  <c r="C58" i="27"/>
  <c r="D58" i="28"/>
  <c r="D58" i="27"/>
  <c r="E58" i="28"/>
  <c r="E58" i="27"/>
  <c r="G58" i="28"/>
  <c r="F58" i="27"/>
  <c r="H58" i="28"/>
  <c r="C59" i="27"/>
  <c r="D59" i="28"/>
  <c r="D59" i="27"/>
  <c r="E59" i="28"/>
  <c r="E59" i="27"/>
  <c r="G59" i="28"/>
  <c r="F59" i="27"/>
  <c r="H59" i="28"/>
  <c r="C60" i="27"/>
  <c r="D60" i="28"/>
  <c r="D60" i="27"/>
  <c r="E60" i="28"/>
  <c r="E60" i="27"/>
  <c r="G60" i="28"/>
  <c r="F60" i="27"/>
  <c r="H60" i="28"/>
  <c r="B29" i="7"/>
  <c r="B9" i="7"/>
  <c r="B7" i="18"/>
  <c r="B31" i="12"/>
  <c r="M45" i="27"/>
  <c r="B6" i="7"/>
  <c r="M15" i="28"/>
  <c r="O15" i="28" s="1"/>
  <c r="M38" i="28"/>
  <c r="O38" i="28" s="1"/>
  <c r="Q40" i="3"/>
  <c r="M11" i="28"/>
  <c r="O11" i="28" s="1"/>
  <c r="K51" i="27"/>
  <c r="M51" i="27" s="1"/>
  <c r="M27" i="28"/>
  <c r="O27" i="28" s="1"/>
  <c r="M42" i="28"/>
  <c r="O42" i="28" s="1"/>
  <c r="B8" i="16"/>
  <c r="B6" i="13"/>
  <c r="B26" i="21"/>
  <c r="M34" i="28"/>
  <c r="O34" i="28" s="1"/>
  <c r="M35" i="28"/>
  <c r="O35" i="28" s="1"/>
  <c r="M31" i="28"/>
  <c r="O31" i="28" s="1"/>
  <c r="K6" i="27"/>
  <c r="M6" i="27" s="1"/>
  <c r="M23" i="28"/>
  <c r="O23" i="28" s="1"/>
  <c r="M30" i="28"/>
  <c r="O30" i="28" s="1"/>
  <c r="M21" i="28"/>
  <c r="O21" i="28" s="1"/>
  <c r="M51" i="28"/>
  <c r="O51" i="28" s="1"/>
  <c r="Q5" i="3"/>
  <c r="M26" i="28"/>
  <c r="O26" i="28" s="1"/>
  <c r="M54" i="28"/>
  <c r="O54" i="28" s="1"/>
  <c r="M7" i="28"/>
  <c r="O7" i="28" s="1"/>
  <c r="M32" i="28"/>
  <c r="O32" i="28" s="1"/>
  <c r="M41" i="28"/>
  <c r="O41" i="28" s="1"/>
  <c r="M45" i="28"/>
  <c r="O45" i="28" s="1"/>
  <c r="M10" i="28"/>
  <c r="O10" i="28" s="1"/>
  <c r="K25" i="27"/>
  <c r="M25" i="27" s="1"/>
  <c r="M43" i="28"/>
  <c r="O43" i="28" s="1"/>
  <c r="M40" i="28"/>
  <c r="O40" i="28" s="1"/>
  <c r="M56" i="28"/>
  <c r="O56" i="28" s="1"/>
  <c r="M46" i="28"/>
  <c r="O46" i="28" s="1"/>
  <c r="M50" i="28"/>
  <c r="O50" i="28" s="1"/>
  <c r="M22" i="28"/>
  <c r="O22" i="28" s="1"/>
  <c r="M48" i="28"/>
  <c r="O48" i="28" s="1"/>
  <c r="M36" i="28"/>
  <c r="O36" i="28" s="1"/>
  <c r="K20" i="27"/>
  <c r="M20" i="27" s="1"/>
  <c r="M9" i="28"/>
  <c r="O9" i="28" s="1"/>
  <c r="M53" i="28"/>
  <c r="O53" i="28" s="1"/>
  <c r="M28" i="28"/>
  <c r="O28" i="28" s="1"/>
  <c r="M33" i="28"/>
  <c r="O33" i="28" s="1"/>
  <c r="M6" i="28"/>
  <c r="O6" i="28" s="1"/>
  <c r="M19" i="28"/>
  <c r="O19" i="28" s="1"/>
  <c r="B8" i="10"/>
  <c r="Q13" i="3"/>
  <c r="M20" i="28"/>
  <c r="O20" i="28" s="1"/>
  <c r="M29" i="28"/>
  <c r="O29" i="28" s="1"/>
  <c r="M14" i="28"/>
  <c r="O14" i="28" s="1"/>
  <c r="M52" i="28"/>
  <c r="O52" i="28" s="1"/>
  <c r="M13" i="28"/>
  <c r="O13" i="28" s="1"/>
  <c r="M17" i="28"/>
  <c r="O17" i="28" s="1"/>
  <c r="M8" i="28"/>
  <c r="O8" i="28" s="1"/>
  <c r="M57" i="28"/>
  <c r="O57" i="28" s="1"/>
  <c r="M12" i="28"/>
  <c r="O12" i="28" s="1"/>
  <c r="M47" i="28"/>
  <c r="O47" i="28" s="1"/>
  <c r="M24" i="28"/>
  <c r="O24" i="28" s="1"/>
  <c r="M25" i="28"/>
  <c r="O25" i="28" s="1"/>
  <c r="M37" i="28"/>
  <c r="O37" i="28" s="1"/>
  <c r="M18" i="28"/>
  <c r="O18" i="28" s="1"/>
  <c r="M16" i="28"/>
  <c r="O16" i="28" s="1"/>
  <c r="B29" i="5"/>
  <c r="G57" i="28"/>
  <c r="B8" i="14"/>
  <c r="B30" i="9"/>
  <c r="B28" i="22"/>
  <c r="B10" i="13"/>
  <c r="M39" i="28"/>
  <c r="O39" i="28" s="1"/>
  <c r="B26" i="10"/>
  <c r="M44" i="28"/>
  <c r="O44" i="28" s="1"/>
  <c r="M55" i="28"/>
  <c r="O55" i="28" s="1"/>
  <c r="B8" i="19"/>
  <c r="E34" i="27"/>
  <c r="G44" i="28"/>
  <c r="E19" i="28"/>
  <c r="E18" i="28"/>
  <c r="D22" i="27"/>
  <c r="E12" i="28"/>
  <c r="D27" i="27"/>
  <c r="E24" i="28"/>
  <c r="D50" i="27"/>
  <c r="E43" i="28"/>
  <c r="D17" i="27"/>
  <c r="E56" i="28"/>
  <c r="D24" i="27"/>
  <c r="E54" i="28"/>
  <c r="D45" i="27"/>
  <c r="E20" i="28"/>
  <c r="F8" i="28"/>
  <c r="F15" i="28"/>
  <c r="F50" i="28"/>
  <c r="F7" i="28"/>
  <c r="G55" i="28"/>
  <c r="E28" i="27"/>
  <c r="G9" i="28"/>
  <c r="E49" i="27"/>
  <c r="G29" i="28"/>
  <c r="E39" i="27"/>
  <c r="G38" i="28"/>
  <c r="E12" i="27"/>
  <c r="G22" i="28"/>
  <c r="F46" i="27"/>
  <c r="H52" i="28"/>
  <c r="F31" i="27"/>
  <c r="H27" i="28"/>
  <c r="F19" i="27"/>
  <c r="H46" i="28"/>
  <c r="F16" i="27"/>
  <c r="H41" i="28"/>
  <c r="F42" i="27"/>
  <c r="H48" i="28"/>
  <c r="B29" i="23"/>
  <c r="B29" i="15"/>
  <c r="B31" i="18"/>
  <c r="B27" i="22"/>
  <c r="B9" i="19"/>
  <c r="B9" i="17"/>
  <c r="B11" i="14"/>
  <c r="B9" i="13"/>
  <c r="E37" i="28"/>
  <c r="D29" i="27"/>
  <c r="E17" i="28"/>
  <c r="D31" i="27"/>
  <c r="E27" i="28"/>
  <c r="D47" i="27"/>
  <c r="E31" i="28"/>
  <c r="D19" i="27"/>
  <c r="E46" i="28"/>
  <c r="D23" i="27"/>
  <c r="E35" i="28"/>
  <c r="D16" i="27"/>
  <c r="E41" i="28"/>
  <c r="D43" i="27"/>
  <c r="E10" i="28"/>
  <c r="D8" i="27"/>
  <c r="E34" i="28"/>
  <c r="D42" i="27"/>
  <c r="E48" i="28"/>
  <c r="F19" i="28"/>
  <c r="F18" i="28"/>
  <c r="F12" i="28"/>
  <c r="F24" i="28"/>
  <c r="F43" i="28"/>
  <c r="F56" i="28"/>
  <c r="F54" i="28"/>
  <c r="F11" i="28"/>
  <c r="F28" i="28"/>
  <c r="F6" i="28"/>
  <c r="F20" i="28"/>
  <c r="F21" i="28"/>
  <c r="F49" i="28"/>
  <c r="G25" i="28"/>
  <c r="G39" i="28"/>
  <c r="E41" i="27"/>
  <c r="G8" i="28"/>
  <c r="E26" i="27"/>
  <c r="G13" i="28"/>
  <c r="E35" i="27"/>
  <c r="G15" i="28"/>
  <c r="E48" i="27"/>
  <c r="G42" i="28"/>
  <c r="E40" i="27"/>
  <c r="G14" i="28"/>
  <c r="E10" i="27"/>
  <c r="G50" i="28"/>
  <c r="E11" i="27"/>
  <c r="G32" i="28"/>
  <c r="E15" i="27"/>
  <c r="G45" i="28"/>
  <c r="E32" i="27"/>
  <c r="G7" i="28"/>
  <c r="E9" i="27"/>
  <c r="G30" i="28"/>
  <c r="E13" i="27"/>
  <c r="G36" i="28"/>
  <c r="H55" i="28"/>
  <c r="F51" i="27"/>
  <c r="H16" i="28"/>
  <c r="F21" i="27"/>
  <c r="H47" i="28"/>
  <c r="F28" i="27"/>
  <c r="H9" i="28"/>
  <c r="F33" i="27"/>
  <c r="H40" i="28"/>
  <c r="F49" i="27"/>
  <c r="H29" i="28"/>
  <c r="F39" i="27"/>
  <c r="H38" i="28"/>
  <c r="F30" i="27"/>
  <c r="H53" i="28"/>
  <c r="F20" i="27"/>
  <c r="H33" i="28"/>
  <c r="F12" i="27"/>
  <c r="H22" i="28"/>
  <c r="F6" i="27"/>
  <c r="H23" i="28"/>
  <c r="F44" i="27"/>
  <c r="H51" i="28"/>
  <c r="D37" i="28"/>
  <c r="C29" i="27"/>
  <c r="D17" i="28"/>
  <c r="C46" i="27"/>
  <c r="D52" i="28"/>
  <c r="C25" i="27"/>
  <c r="D26" i="28"/>
  <c r="C19" i="27"/>
  <c r="D46" i="28"/>
  <c r="C23" i="27"/>
  <c r="D35" i="28"/>
  <c r="C43" i="27"/>
  <c r="D10" i="28"/>
  <c r="B10" i="4"/>
  <c r="D48" i="28"/>
  <c r="H44" i="28"/>
  <c r="E26" i="28"/>
  <c r="F40" i="28"/>
  <c r="D52" i="27"/>
  <c r="E11" i="28"/>
  <c r="D7" i="27"/>
  <c r="E6" i="28"/>
  <c r="D37" i="27"/>
  <c r="E21" i="28"/>
  <c r="F39" i="28"/>
  <c r="F14" i="28"/>
  <c r="F45" i="28"/>
  <c r="F36" i="28"/>
  <c r="E51" i="27"/>
  <c r="G16" i="28"/>
  <c r="E21" i="27"/>
  <c r="G47" i="28"/>
  <c r="E30" i="27"/>
  <c r="G53" i="28"/>
  <c r="E44" i="27"/>
  <c r="G51" i="28"/>
  <c r="F29" i="27"/>
  <c r="H17" i="28"/>
  <c r="F25" i="27"/>
  <c r="H26" i="28"/>
  <c r="F43" i="27"/>
  <c r="H10" i="28"/>
  <c r="B9" i="21"/>
  <c r="E55" i="28"/>
  <c r="D51" i="27"/>
  <c r="E16" i="28"/>
  <c r="D21" i="27"/>
  <c r="E47" i="28"/>
  <c r="D28" i="27"/>
  <c r="E9" i="28"/>
  <c r="D33" i="27"/>
  <c r="E40" i="28"/>
  <c r="D49" i="27"/>
  <c r="E29" i="28"/>
  <c r="D39" i="27"/>
  <c r="E38" i="28"/>
  <c r="D30" i="27"/>
  <c r="E53" i="28"/>
  <c r="D20" i="27"/>
  <c r="E33" i="28"/>
  <c r="D12" i="27"/>
  <c r="E22" i="28"/>
  <c r="D6" i="27"/>
  <c r="E23" i="28"/>
  <c r="D44" i="27"/>
  <c r="E51" i="28"/>
  <c r="F37" i="28"/>
  <c r="F17" i="28"/>
  <c r="F52" i="28"/>
  <c r="F27" i="28"/>
  <c r="F26" i="28"/>
  <c r="F31" i="28"/>
  <c r="F46" i="28"/>
  <c r="F35" i="28"/>
  <c r="F41" i="28"/>
  <c r="F10" i="28"/>
  <c r="F34" i="28"/>
  <c r="F48" i="28"/>
  <c r="G19" i="28"/>
  <c r="G18" i="28"/>
  <c r="E22" i="27"/>
  <c r="G12" i="28"/>
  <c r="E27" i="27"/>
  <c r="G24" i="28"/>
  <c r="E50" i="27"/>
  <c r="G43" i="28"/>
  <c r="E17" i="27"/>
  <c r="G56" i="28"/>
  <c r="E24" i="27"/>
  <c r="G54" i="28"/>
  <c r="E52" i="27"/>
  <c r="G11" i="28"/>
  <c r="E18" i="27"/>
  <c r="G28" i="28"/>
  <c r="E7" i="27"/>
  <c r="G6" i="28"/>
  <c r="E45" i="27"/>
  <c r="G20" i="28"/>
  <c r="E37" i="27"/>
  <c r="G21" i="28"/>
  <c r="E36" i="27"/>
  <c r="G49" i="28"/>
  <c r="H25" i="28"/>
  <c r="H39" i="28"/>
  <c r="F41" i="27"/>
  <c r="H8" i="28"/>
  <c r="F26" i="27"/>
  <c r="H13" i="28"/>
  <c r="F35" i="27"/>
  <c r="H15" i="28"/>
  <c r="F48" i="27"/>
  <c r="H42" i="28"/>
  <c r="F40" i="27"/>
  <c r="H14" i="28"/>
  <c r="F10" i="27"/>
  <c r="H50" i="28"/>
  <c r="F11" i="27"/>
  <c r="H32" i="28"/>
  <c r="F15" i="27"/>
  <c r="H45" i="28"/>
  <c r="F32" i="27"/>
  <c r="H7" i="28"/>
  <c r="F9" i="27"/>
  <c r="H30" i="28"/>
  <c r="F13" i="27"/>
  <c r="H36" i="28"/>
  <c r="D55" i="28"/>
  <c r="C51" i="27"/>
  <c r="D16" i="28"/>
  <c r="C21" i="27"/>
  <c r="D47" i="28"/>
  <c r="C28" i="27"/>
  <c r="D9" i="28"/>
  <c r="C33" i="27"/>
  <c r="D40" i="28"/>
  <c r="C49" i="27"/>
  <c r="D29" i="28"/>
  <c r="C39" i="27"/>
  <c r="D38" i="28"/>
  <c r="C30" i="27"/>
  <c r="D53" i="28"/>
  <c r="C20" i="27"/>
  <c r="D33" i="28"/>
  <c r="C12" i="27"/>
  <c r="D22" i="28"/>
  <c r="C6" i="27"/>
  <c r="D23" i="28"/>
  <c r="C44" i="27"/>
  <c r="D51" i="28"/>
  <c r="E44" i="28"/>
  <c r="D18" i="27"/>
  <c r="E28" i="28"/>
  <c r="D36" i="27"/>
  <c r="E49" i="28"/>
  <c r="F25" i="28"/>
  <c r="F13" i="28"/>
  <c r="F42" i="28"/>
  <c r="F32" i="28"/>
  <c r="F30" i="28"/>
  <c r="E33" i="27"/>
  <c r="G40" i="28"/>
  <c r="E20" i="27"/>
  <c r="G33" i="28"/>
  <c r="E6" i="27"/>
  <c r="G23" i="28"/>
  <c r="H37" i="28"/>
  <c r="F47" i="27"/>
  <c r="H31" i="28"/>
  <c r="F23" i="27"/>
  <c r="H35" i="28"/>
  <c r="F8" i="27"/>
  <c r="H34" i="28"/>
  <c r="B27" i="24"/>
  <c r="B31" i="22"/>
  <c r="B7" i="24"/>
  <c r="B11" i="22"/>
  <c r="B31" i="24"/>
  <c r="B27" i="14"/>
  <c r="B31" i="16"/>
  <c r="B27" i="20"/>
  <c r="B9" i="23"/>
  <c r="B11" i="20"/>
  <c r="B11" i="18"/>
  <c r="B7" i="16"/>
  <c r="B7" i="14"/>
  <c r="E25" i="28"/>
  <c r="E39" i="28"/>
  <c r="D41" i="27"/>
  <c r="E8" i="28"/>
  <c r="D26" i="27"/>
  <c r="E13" i="28"/>
  <c r="D35" i="27"/>
  <c r="E15" i="28"/>
  <c r="D48" i="27"/>
  <c r="E42" i="28"/>
  <c r="D40" i="27"/>
  <c r="E14" i="28"/>
  <c r="D10" i="27"/>
  <c r="E50" i="28"/>
  <c r="D11" i="27"/>
  <c r="E32" i="28"/>
  <c r="D15" i="27"/>
  <c r="E45" i="28"/>
  <c r="D32" i="27"/>
  <c r="E7" i="28"/>
  <c r="D9" i="27"/>
  <c r="E30" i="28"/>
  <c r="D13" i="27"/>
  <c r="E36" i="28"/>
  <c r="F55" i="28"/>
  <c r="F16" i="28"/>
  <c r="F9" i="28"/>
  <c r="F29" i="28"/>
  <c r="F38" i="28"/>
  <c r="F53" i="28"/>
  <c r="F33" i="28"/>
  <c r="F22" i="28"/>
  <c r="F23" i="28"/>
  <c r="F51" i="28"/>
  <c r="G37" i="28"/>
  <c r="E29" i="27"/>
  <c r="G17" i="28"/>
  <c r="E46" i="27"/>
  <c r="G52" i="28"/>
  <c r="E31" i="27"/>
  <c r="G27" i="28"/>
  <c r="E25" i="27"/>
  <c r="G26" i="28"/>
  <c r="E47" i="27"/>
  <c r="G31" i="28"/>
  <c r="E19" i="27"/>
  <c r="G46" i="28"/>
  <c r="E23" i="27"/>
  <c r="G35" i="28"/>
  <c r="E16" i="27"/>
  <c r="G41" i="28"/>
  <c r="E43" i="27"/>
  <c r="G10" i="28"/>
  <c r="E8" i="27"/>
  <c r="G34" i="28"/>
  <c r="E42" i="27"/>
  <c r="G48" i="28"/>
  <c r="H19" i="28"/>
  <c r="H18" i="28"/>
  <c r="F22" i="27"/>
  <c r="H12" i="28"/>
  <c r="F27" i="27"/>
  <c r="H24" i="28"/>
  <c r="F50" i="27"/>
  <c r="H43" i="28"/>
  <c r="F17" i="27"/>
  <c r="H56" i="28"/>
  <c r="F24" i="27"/>
  <c r="H54" i="28"/>
  <c r="F52" i="27"/>
  <c r="H11" i="28"/>
  <c r="F18" i="27"/>
  <c r="H28" i="28"/>
  <c r="F7" i="27"/>
  <c r="H6" i="28"/>
  <c r="F45" i="27"/>
  <c r="H20" i="28"/>
  <c r="F37" i="27"/>
  <c r="H21" i="28"/>
  <c r="F36" i="27"/>
  <c r="H49" i="28"/>
  <c r="D25" i="28"/>
  <c r="D39" i="28"/>
  <c r="C41" i="27"/>
  <c r="D8" i="28"/>
  <c r="C26" i="27"/>
  <c r="D13" i="28"/>
  <c r="C35" i="27"/>
  <c r="D15" i="28"/>
  <c r="C48" i="27"/>
  <c r="D42" i="28"/>
  <c r="C40" i="27"/>
  <c r="D14" i="28"/>
  <c r="C10" i="27"/>
  <c r="D50" i="28"/>
  <c r="C11" i="27"/>
  <c r="D32" i="28"/>
  <c r="C15" i="27"/>
  <c r="D45" i="28"/>
  <c r="C32" i="27"/>
  <c r="D7" i="28"/>
  <c r="C9" i="27"/>
  <c r="D30" i="28"/>
  <c r="C13" i="27"/>
  <c r="D36" i="28"/>
  <c r="F44" i="28"/>
  <c r="E52" i="28"/>
  <c r="F47" i="28"/>
  <c r="D19" i="28"/>
  <c r="D18" i="28"/>
  <c r="C22" i="27"/>
  <c r="D12" i="28"/>
  <c r="C27" i="27"/>
  <c r="D24" i="28"/>
  <c r="C50" i="27"/>
  <c r="D43" i="28"/>
  <c r="C17" i="27"/>
  <c r="D56" i="28"/>
  <c r="C24" i="27"/>
  <c r="D54" i="28"/>
  <c r="C52" i="27"/>
  <c r="D11" i="28"/>
  <c r="C18" i="27"/>
  <c r="D28" i="28"/>
  <c r="C7" i="27"/>
  <c r="D6" i="28"/>
  <c r="C45" i="27"/>
  <c r="D20" i="28"/>
  <c r="C37" i="27"/>
  <c r="D21" i="28"/>
  <c r="C36" i="27"/>
  <c r="D49" i="28"/>
  <c r="B9" i="20"/>
  <c r="B27" i="23"/>
  <c r="B29" i="14"/>
  <c r="B11" i="21"/>
  <c r="B31" i="21"/>
  <c r="B7" i="23"/>
  <c r="B9" i="22"/>
  <c r="B31" i="9"/>
  <c r="B11" i="9"/>
  <c r="B27" i="17"/>
  <c r="B29" i="20"/>
  <c r="B11" i="23"/>
  <c r="B11" i="13"/>
  <c r="B29" i="18"/>
  <c r="B31" i="5"/>
  <c r="B7" i="19"/>
  <c r="B11" i="17"/>
  <c r="B9" i="16"/>
  <c r="B7" i="15"/>
  <c r="B7" i="13"/>
  <c r="B31" i="13"/>
  <c r="B27" i="15"/>
  <c r="B29" i="22"/>
  <c r="B7" i="21"/>
  <c r="B11" i="19"/>
  <c r="B31" i="7"/>
  <c r="B31" i="17"/>
  <c r="B27" i="19"/>
  <c r="B9" i="18"/>
  <c r="B7" i="17"/>
  <c r="B11" i="15"/>
  <c r="B9" i="14"/>
  <c r="B27" i="13"/>
  <c r="K43" i="27"/>
  <c r="M43" i="27" s="1"/>
  <c r="K46" i="27"/>
  <c r="M46" i="27" s="1"/>
  <c r="K33" i="27"/>
  <c r="M33" i="27" s="1"/>
  <c r="K23" i="27"/>
  <c r="M23" i="27" s="1"/>
  <c r="K12" i="27"/>
  <c r="M12" i="27" s="1"/>
  <c r="K49" i="27"/>
  <c r="M49" i="27" s="1"/>
  <c r="K16" i="27"/>
  <c r="M16" i="27" s="1"/>
  <c r="K8" i="27"/>
  <c r="M8" i="27" s="1"/>
  <c r="K29" i="27"/>
  <c r="M29" i="27" s="1"/>
  <c r="K28" i="27"/>
  <c r="M28" i="27" s="1"/>
  <c r="K39" i="27"/>
  <c r="M39" i="27" s="1"/>
  <c r="B27" i="10"/>
  <c r="B27" i="6"/>
  <c r="B27" i="4"/>
  <c r="B7" i="4"/>
  <c r="B7" i="12"/>
  <c r="B27" i="8"/>
  <c r="B7" i="6"/>
  <c r="B31" i="8"/>
  <c r="B31" i="10"/>
  <c r="B31" i="6"/>
  <c r="B11" i="4"/>
  <c r="B7" i="8"/>
  <c r="B7" i="10"/>
  <c r="B9" i="9"/>
  <c r="B31" i="4"/>
  <c r="K13" i="27"/>
  <c r="M13" i="27" s="1"/>
  <c r="Q66" i="3"/>
  <c r="K11" i="27"/>
  <c r="M11" i="27" s="1"/>
  <c r="K15" i="27"/>
  <c r="M15" i="27" s="1"/>
  <c r="K32" i="27"/>
  <c r="M32" i="27" s="1"/>
  <c r="K9" i="27"/>
  <c r="M9" i="27" s="1"/>
  <c r="K36" i="27"/>
  <c r="M36" i="27" s="1"/>
  <c r="K41" i="27"/>
  <c r="M41" i="27" s="1"/>
  <c r="K26" i="27"/>
  <c r="M26" i="27" s="1"/>
  <c r="K35" i="27"/>
  <c r="M35" i="27" s="1"/>
  <c r="K48" i="27"/>
  <c r="M48" i="27" s="1"/>
  <c r="K24" i="27"/>
  <c r="M24" i="27" s="1"/>
  <c r="K52" i="27"/>
  <c r="M52" i="27" s="1"/>
  <c r="K44" i="27"/>
  <c r="M44" i="27" s="1"/>
  <c r="K30" i="27"/>
  <c r="M30" i="27" s="1"/>
  <c r="K21" i="27"/>
  <c r="M21" i="27" s="1"/>
  <c r="K40" i="27"/>
  <c r="M40" i="27" s="1"/>
  <c r="K10" i="27"/>
  <c r="M10" i="27" s="1"/>
  <c r="K18" i="27"/>
  <c r="M18" i="27" s="1"/>
  <c r="K7" i="27"/>
  <c r="M7" i="27" s="1"/>
  <c r="K42" i="27"/>
  <c r="M42" i="27" s="1"/>
  <c r="K22" i="27"/>
  <c r="M22" i="27" s="1"/>
  <c r="K27" i="27"/>
  <c r="M27" i="27" s="1"/>
  <c r="K50" i="27"/>
  <c r="M50" i="27" s="1"/>
  <c r="K47" i="27"/>
  <c r="M47" i="27" s="1"/>
  <c r="K19" i="27"/>
  <c r="M19" i="27" s="1"/>
  <c r="B7" i="9"/>
  <c r="B29" i="6"/>
  <c r="B27" i="9"/>
  <c r="B28" i="6"/>
  <c r="B27" i="5"/>
  <c r="B9" i="6"/>
  <c r="B8" i="6"/>
  <c r="B26" i="9"/>
  <c r="B10" i="5"/>
  <c r="B6" i="11"/>
  <c r="B30" i="7"/>
  <c r="B26" i="5"/>
  <c r="B8" i="8"/>
  <c r="B9" i="12"/>
  <c r="B26" i="11"/>
  <c r="B11" i="5"/>
  <c r="B7" i="11"/>
  <c r="B9" i="4"/>
  <c r="B27" i="11"/>
  <c r="B27" i="7"/>
  <c r="B7" i="5"/>
  <c r="B7" i="7"/>
  <c r="B9" i="10"/>
  <c r="B11" i="7"/>
  <c r="B9" i="8"/>
  <c r="K17" i="27"/>
  <c r="M17" i="27" s="1"/>
  <c r="B26" i="4"/>
  <c r="C34" i="27"/>
  <c r="B6" i="24"/>
  <c r="B6" i="22"/>
  <c r="B10" i="20"/>
  <c r="B28" i="19"/>
  <c r="B10" i="18"/>
  <c r="B6" i="18"/>
  <c r="B6" i="16"/>
  <c r="B8" i="15"/>
  <c r="B8" i="13"/>
  <c r="B6" i="10"/>
  <c r="C31" i="27"/>
  <c r="B30" i="8"/>
  <c r="C47" i="27"/>
  <c r="B30" i="6"/>
  <c r="C16" i="27"/>
  <c r="B8" i="5"/>
  <c r="C8" i="27"/>
  <c r="K34" i="27"/>
  <c r="M34" i="27" s="1"/>
  <c r="K37" i="27"/>
  <c r="M37" i="27" s="1"/>
  <c r="B26" i="12"/>
  <c r="B30" i="4"/>
  <c r="B10" i="10"/>
  <c r="B10" i="16"/>
  <c r="B10" i="24"/>
  <c r="B8" i="7"/>
  <c r="B6" i="6"/>
  <c r="B6" i="4"/>
  <c r="B28" i="7"/>
  <c r="B28" i="5"/>
  <c r="B30" i="16"/>
  <c r="B30" i="22"/>
  <c r="B10" i="8"/>
  <c r="B10" i="6"/>
  <c r="B10" i="12"/>
  <c r="B6" i="20"/>
  <c r="B8" i="17"/>
  <c r="B10" i="14"/>
  <c r="B6" i="14"/>
  <c r="B26" i="6"/>
  <c r="B30" i="14"/>
  <c r="B26" i="8"/>
  <c r="B6" i="12"/>
  <c r="B8" i="9"/>
  <c r="B26" i="24"/>
  <c r="B8" i="23"/>
  <c r="B30" i="24"/>
  <c r="B30" i="10"/>
  <c r="B6" i="8"/>
  <c r="B8" i="21"/>
  <c r="B8" i="12"/>
  <c r="B30" i="17"/>
  <c r="B28" i="24"/>
  <c r="B28" i="18"/>
  <c r="B30" i="23"/>
  <c r="B26" i="17"/>
  <c r="B10" i="21"/>
  <c r="B10" i="15"/>
  <c r="B29" i="12"/>
  <c r="B26" i="16"/>
  <c r="B29" i="17"/>
  <c r="B28" i="8"/>
  <c r="B26" i="18"/>
  <c r="B26" i="14"/>
  <c r="B29" i="24"/>
  <c r="B30" i="19"/>
  <c r="B10" i="7"/>
  <c r="B28" i="9"/>
  <c r="B28" i="15"/>
  <c r="B30" i="12"/>
  <c r="B30" i="20"/>
  <c r="B6" i="5"/>
  <c r="B29" i="8"/>
  <c r="B29" i="4"/>
  <c r="B29" i="16"/>
  <c r="B28" i="13"/>
  <c r="B28" i="4"/>
  <c r="B28" i="20"/>
  <c r="B31" i="23"/>
  <c r="B29" i="19"/>
  <c r="B8" i="11"/>
  <c r="B26" i="23"/>
  <c r="B26" i="22"/>
  <c r="B26" i="20"/>
  <c r="B26" i="15"/>
  <c r="B26" i="13"/>
  <c r="B31" i="20"/>
  <c r="B29" i="10"/>
  <c r="B28" i="12"/>
  <c r="B31" i="15"/>
  <c r="B27" i="21"/>
  <c r="B28" i="23"/>
  <c r="B28" i="17"/>
  <c r="B30" i="18"/>
  <c r="B26" i="19"/>
</calcChain>
</file>

<file path=xl/sharedStrings.xml><?xml version="1.0" encoding="utf-8"?>
<sst xmlns="http://schemas.openxmlformats.org/spreadsheetml/2006/main" count="1714" uniqueCount="768">
  <si>
    <t>VI</t>
  </si>
  <si>
    <t>ÁLAVA</t>
  </si>
  <si>
    <t>FO</t>
  </si>
  <si>
    <t>FU</t>
  </si>
  <si>
    <t>SUB CAT</t>
  </si>
  <si>
    <t>AL</t>
  </si>
  <si>
    <t>ALMERÍA</t>
  </si>
  <si>
    <t>DM</t>
  </si>
  <si>
    <t>BA</t>
  </si>
  <si>
    <t>BADAJOZ</t>
  </si>
  <si>
    <t>JR</t>
  </si>
  <si>
    <t>BU</t>
  </si>
  <si>
    <t>BURGOS</t>
  </si>
  <si>
    <t>SR</t>
  </si>
  <si>
    <t>S</t>
  </si>
  <si>
    <t>CANTABRIA</t>
  </si>
  <si>
    <t>VET</t>
  </si>
  <si>
    <t>CR</t>
  </si>
  <si>
    <t>CIUDAD REAL</t>
  </si>
  <si>
    <t>MASTER</t>
  </si>
  <si>
    <t>CU</t>
  </si>
  <si>
    <t>CUENCA</t>
  </si>
  <si>
    <t>GU</t>
  </si>
  <si>
    <t>GUADALAJARA</t>
  </si>
  <si>
    <t>HU</t>
  </si>
  <si>
    <t>HUESCA</t>
  </si>
  <si>
    <t>L</t>
  </si>
  <si>
    <t>LÉRIDA</t>
  </si>
  <si>
    <t>MA</t>
  </si>
  <si>
    <t>MÁLAGA</t>
  </si>
  <si>
    <t>NA</t>
  </si>
  <si>
    <t>NAVARRA</t>
  </si>
  <si>
    <t>GC</t>
  </si>
  <si>
    <t>PALMAS, LAS</t>
  </si>
  <si>
    <t>SA</t>
  </si>
  <si>
    <t>SALAMANCA</t>
  </si>
  <si>
    <t>SO</t>
  </si>
  <si>
    <t>SORIA</t>
  </si>
  <si>
    <t>TE</t>
  </si>
  <si>
    <t>TERUEL</t>
  </si>
  <si>
    <t>VA</t>
  </si>
  <si>
    <t>VALLADOLID</t>
  </si>
  <si>
    <t>Z</t>
  </si>
  <si>
    <t>ZARAGOZA</t>
  </si>
  <si>
    <t>AB</t>
  </si>
  <si>
    <t>ALBACETE</t>
  </si>
  <si>
    <t>O</t>
  </si>
  <si>
    <t>ASTURIAS</t>
  </si>
  <si>
    <t>IB</t>
  </si>
  <si>
    <t>BALEARES, ISLAS</t>
  </si>
  <si>
    <t>CC</t>
  </si>
  <si>
    <t>CÁCERES</t>
  </si>
  <si>
    <t>CS</t>
  </si>
  <si>
    <t>CASTELLÓN</t>
  </si>
  <si>
    <t>CO</t>
  </si>
  <si>
    <t>CÓRDOBA</t>
  </si>
  <si>
    <t>GI</t>
  </si>
  <si>
    <t>GERONA</t>
  </si>
  <si>
    <t>SS</t>
  </si>
  <si>
    <t>GUIPÚZCOA</t>
  </si>
  <si>
    <t>J</t>
  </si>
  <si>
    <t>JAÉN</t>
  </si>
  <si>
    <t>LU</t>
  </si>
  <si>
    <t>LUGO</t>
  </si>
  <si>
    <t>ML</t>
  </si>
  <si>
    <t>MELILLA</t>
  </si>
  <si>
    <t>OU</t>
  </si>
  <si>
    <t>ORENSE</t>
  </si>
  <si>
    <t>PO</t>
  </si>
  <si>
    <t>PONTEVEDRA</t>
  </si>
  <si>
    <t>SG</t>
  </si>
  <si>
    <t>SEGOVIA</t>
  </si>
  <si>
    <t>T</t>
  </si>
  <si>
    <t>TARRAGONA</t>
  </si>
  <si>
    <t>TO</t>
  </si>
  <si>
    <t>TOLEDO</t>
  </si>
  <si>
    <t>BI</t>
  </si>
  <si>
    <t>VIZCAYA</t>
  </si>
  <si>
    <t>A</t>
  </si>
  <si>
    <t>ALICANTE</t>
  </si>
  <si>
    <t>AV</t>
  </si>
  <si>
    <t>ÁVILA</t>
  </si>
  <si>
    <t>B</t>
  </si>
  <si>
    <t>BARCELONA</t>
  </si>
  <si>
    <t>CA</t>
  </si>
  <si>
    <t>CÁDIZ</t>
  </si>
  <si>
    <t>CE</t>
  </si>
  <si>
    <t>CEUTA</t>
  </si>
  <si>
    <t>C</t>
  </si>
  <si>
    <t>CORUÑA, LA</t>
  </si>
  <si>
    <t>GR</t>
  </si>
  <si>
    <t>GRANADA</t>
  </si>
  <si>
    <t>H</t>
  </si>
  <si>
    <t>HUELVA</t>
  </si>
  <si>
    <t>LE</t>
  </si>
  <si>
    <t>LEÓN</t>
  </si>
  <si>
    <t>M</t>
  </si>
  <si>
    <t>MADRID</t>
  </si>
  <si>
    <t>MU</t>
  </si>
  <si>
    <t>MURCIA</t>
  </si>
  <si>
    <t>P</t>
  </si>
  <si>
    <t>PALENCIA</t>
  </si>
  <si>
    <t>LO</t>
  </si>
  <si>
    <t>RIOJA, LA</t>
  </si>
  <si>
    <t>SE</t>
  </si>
  <si>
    <t>SEVILLA</t>
  </si>
  <si>
    <t>TF</t>
  </si>
  <si>
    <t>TENERIFE</t>
  </si>
  <si>
    <t>V</t>
  </si>
  <si>
    <t>VALENCIA</t>
  </si>
  <si>
    <t>ZA</t>
  </si>
  <si>
    <t>ZAMORA</t>
  </si>
  <si>
    <t>DNI</t>
  </si>
  <si>
    <t>NOMBRE Y APELLIDOS</t>
  </si>
  <si>
    <t>LICENCIA</t>
  </si>
  <si>
    <t>PROV.</t>
  </si>
  <si>
    <t>CAT. FO</t>
  </si>
  <si>
    <t>CAT. FU</t>
  </si>
  <si>
    <t>SUBC.</t>
  </si>
  <si>
    <t>.</t>
  </si>
  <si>
    <t>14211027V</t>
  </si>
  <si>
    <t>Abilio Garcia Del Barrio</t>
  </si>
  <si>
    <t>Alberto Izquierdo  Macareno</t>
  </si>
  <si>
    <t>Alejandro Alvarez Garcia</t>
  </si>
  <si>
    <t>71284520E</t>
  </si>
  <si>
    <t>Alejandro Gil Ortiz</t>
  </si>
  <si>
    <t>Alejandro Poza Aparicio</t>
  </si>
  <si>
    <t>Alvaro Bayo</t>
  </si>
  <si>
    <t>Ander Bilbao Goikoetxea</t>
  </si>
  <si>
    <t>Andoni Brenlla Perez</t>
  </si>
  <si>
    <t>Andres Iglesias Rumoroso</t>
  </si>
  <si>
    <t>12245653Q</t>
  </si>
  <si>
    <t>Angel Alfonso Asensio</t>
  </si>
  <si>
    <t>12697313W</t>
  </si>
  <si>
    <t>Angel Garcia Sebastian</t>
  </si>
  <si>
    <t>12729699G</t>
  </si>
  <si>
    <t>Antonio Cardeñoso Garcia</t>
  </si>
  <si>
    <t>Antonio Gago Martin</t>
  </si>
  <si>
    <t>12673245S</t>
  </si>
  <si>
    <t>Antonio Roman Gonzalez</t>
  </si>
  <si>
    <t>13158737T</t>
  </si>
  <si>
    <t>71926593G</t>
  </si>
  <si>
    <t>Arturo Ruiz Lopez</t>
  </si>
  <si>
    <t>AS</t>
  </si>
  <si>
    <t>12398957W</t>
  </si>
  <si>
    <t>Carlos Franco Santiago</t>
  </si>
  <si>
    <t>Carlos Garces</t>
  </si>
  <si>
    <t>Carlos Gomez de Pablo (COPIO)</t>
  </si>
  <si>
    <t>Carlos Inchausti Martinez</t>
  </si>
  <si>
    <t>12731818F</t>
  </si>
  <si>
    <t>Carlos Mari Perez Martin</t>
  </si>
  <si>
    <t>Carmelo Heredero</t>
  </si>
  <si>
    <t>5644642M</t>
  </si>
  <si>
    <t>Cesar Anaya Garcia</t>
  </si>
  <si>
    <t>Daciano Giganto Garcia</t>
  </si>
  <si>
    <t>Daniel Perez</t>
  </si>
  <si>
    <t>45738539A</t>
  </si>
  <si>
    <t>David Martínez</t>
  </si>
  <si>
    <t>76962426X</t>
  </si>
  <si>
    <t>David Vicente Gutierrez</t>
  </si>
  <si>
    <t>71269863Q</t>
  </si>
  <si>
    <t>Eduardo Fernandez Prieto</t>
  </si>
  <si>
    <t>Eduardo Garcia Pineda</t>
  </si>
  <si>
    <t>16600337H</t>
  </si>
  <si>
    <t>Eduardo Ijalba Aguirre</t>
  </si>
  <si>
    <t>16571226W</t>
  </si>
  <si>
    <t>Eduardo Martinez Duarte</t>
  </si>
  <si>
    <t>71941654T</t>
  </si>
  <si>
    <t>Eduardo Muñoz Garcia</t>
  </si>
  <si>
    <t>Ekain Sukia Etxeberria</t>
  </si>
  <si>
    <t>Elias Belber Fernandez</t>
  </si>
  <si>
    <t>Eliseo Crespo Mayo</t>
  </si>
  <si>
    <t>Emilio San Emeterio Peña</t>
  </si>
  <si>
    <t>16807100B</t>
  </si>
  <si>
    <t>Enrique Jimenez Marin</t>
  </si>
  <si>
    <t>72059150N</t>
  </si>
  <si>
    <t>Enrique Ruiz Ruiz</t>
  </si>
  <si>
    <t>Enrique Urra lopez</t>
  </si>
  <si>
    <t>Enrique Velasco Gonzalez</t>
  </si>
  <si>
    <t>20214279Q</t>
  </si>
  <si>
    <t>Eusebio Barquin Herreria</t>
  </si>
  <si>
    <t>Faustino Fernandez Arnaldo</t>
  </si>
  <si>
    <t>12709375N</t>
  </si>
  <si>
    <t>Federico Lozano Ginel</t>
  </si>
  <si>
    <t>Feliciano Brezo Bastida</t>
  </si>
  <si>
    <t>Felipe Peral Alvarez</t>
  </si>
  <si>
    <t>70065281J</t>
  </si>
  <si>
    <t>Felix Bermejo Diaz</t>
  </si>
  <si>
    <t>16796531E</t>
  </si>
  <si>
    <t>Felix Gomez Alcalde</t>
  </si>
  <si>
    <t>71288878X</t>
  </si>
  <si>
    <t>Felix Ibañez Garcia</t>
  </si>
  <si>
    <t>Felix Revilla</t>
  </si>
  <si>
    <t>Flaviano Velasco</t>
  </si>
  <si>
    <t>16222313E</t>
  </si>
  <si>
    <t>Francisco Barroso Toledo</t>
  </si>
  <si>
    <t>Francisco Del Rio Gil</t>
  </si>
  <si>
    <t>Francisco Javier Calle Gomez</t>
  </si>
  <si>
    <t>Francisco Perez Barbero</t>
  </si>
  <si>
    <t>71362461Q</t>
  </si>
  <si>
    <t>Gabriel Rincon Blanco</t>
  </si>
  <si>
    <t>Garikoitz Derteano Sarrionandia</t>
  </si>
  <si>
    <t>12736860N</t>
  </si>
  <si>
    <t>Gregorio Noriega</t>
  </si>
  <si>
    <t>Guillermo Cortes Frutos</t>
  </si>
  <si>
    <t>71265320G</t>
  </si>
  <si>
    <t>Guillermo Velasco Gonzalez</t>
  </si>
  <si>
    <t>71709961D</t>
  </si>
  <si>
    <t>Guillermo Velasco Miguel</t>
  </si>
  <si>
    <t>Ibon Arrieta Arcocha</t>
  </si>
  <si>
    <t>71288066A</t>
  </si>
  <si>
    <t>Iker Sancho Perez</t>
  </si>
  <si>
    <t>Iñaki Lenkerika Basarte</t>
  </si>
  <si>
    <t>29034490A</t>
  </si>
  <si>
    <t>Iñigo Leoz Uriarte</t>
  </si>
  <si>
    <t>Isaac Castillo Zorzano</t>
  </si>
  <si>
    <t>71285142T</t>
  </si>
  <si>
    <t>Isidoro Rincon Blanco</t>
  </si>
  <si>
    <t>71122470F</t>
  </si>
  <si>
    <t>Isidro Abad Gutierrez</t>
  </si>
  <si>
    <t>EX</t>
  </si>
  <si>
    <t>30639512Q</t>
  </si>
  <si>
    <t>Ivan Esteban Lopez Maidagan</t>
  </si>
  <si>
    <t>Ivan Fernandez Santiago</t>
  </si>
  <si>
    <t>Ivan Lopez De Diego</t>
  </si>
  <si>
    <t>Ivan Manuel Fuertes</t>
  </si>
  <si>
    <t>13171698N</t>
  </si>
  <si>
    <t>Ivan Salvador Gonzalez</t>
  </si>
  <si>
    <t>45576567C</t>
  </si>
  <si>
    <t>Ivan Velasco Palomino</t>
  </si>
  <si>
    <t>13122051E</t>
  </si>
  <si>
    <t>Jaime Ruiz Gonzalez</t>
  </si>
  <si>
    <t>13165082C</t>
  </si>
  <si>
    <t>Jairo Garcia Gil</t>
  </si>
  <si>
    <t>44867291H</t>
  </si>
  <si>
    <t xml:space="preserve">Jaume Mas </t>
  </si>
  <si>
    <t>71936789B</t>
  </si>
  <si>
    <t>Javier Diez Cascon</t>
  </si>
  <si>
    <t>Javier Lozano</t>
  </si>
  <si>
    <t>71940380Z</t>
  </si>
  <si>
    <t>Javier Nieto Perez</t>
  </si>
  <si>
    <t>Javier Panero Gonzalez</t>
  </si>
  <si>
    <t>44432653B</t>
  </si>
  <si>
    <t>Javier Soto Barredo</t>
  </si>
  <si>
    <t>Jesus Maria Unzaga Martin</t>
  </si>
  <si>
    <t>13157860C</t>
  </si>
  <si>
    <t>Jesus Puras Perez</t>
  </si>
  <si>
    <t>71105120E</t>
  </si>
  <si>
    <t>Joaquin Bengoechea</t>
  </si>
  <si>
    <t>16628992S</t>
  </si>
  <si>
    <t>Jonathan Martinez Pinillos</t>
  </si>
  <si>
    <t>13106782W</t>
  </si>
  <si>
    <t>Jorge Javier Garcia Perez</t>
  </si>
  <si>
    <t>09327847J</t>
  </si>
  <si>
    <t>Jorge Juan Roman Garcia</t>
  </si>
  <si>
    <t>71928689F</t>
  </si>
  <si>
    <t>Jose Antonio Goldar Guerrero</t>
  </si>
  <si>
    <t>Jose Antonio Hernando</t>
  </si>
  <si>
    <t xml:space="preserve">Jose Antonio Martinez </t>
  </si>
  <si>
    <t>31258129W</t>
  </si>
  <si>
    <t>13727191D</t>
  </si>
  <si>
    <t>Jose Antonio San Emeterio Diaz</t>
  </si>
  <si>
    <t>Jose Carlos Delgado Martinez</t>
  </si>
  <si>
    <t>Jose Carlos Sobrevila Sanchez</t>
  </si>
  <si>
    <t>Jose Enrique Pantiga</t>
  </si>
  <si>
    <t>Jose Ignacio Larrinaga</t>
  </si>
  <si>
    <t>Jose Javier Ormazabal Aguirremoto</t>
  </si>
  <si>
    <t>13302302E</t>
  </si>
  <si>
    <t>Jose Luis Arjona Perez</t>
  </si>
  <si>
    <t>78871161K</t>
  </si>
  <si>
    <t>Jose Luis Beitia Goicolea</t>
  </si>
  <si>
    <t>16523396N</t>
  </si>
  <si>
    <t>Jose Luis Medina Martinez</t>
  </si>
  <si>
    <t>Jose Luis Miguel "BILLI"</t>
  </si>
  <si>
    <t>71108008N</t>
  </si>
  <si>
    <t>Jose Luis Sanz</t>
  </si>
  <si>
    <t>71935158J</t>
  </si>
  <si>
    <t>13101801N</t>
  </si>
  <si>
    <t>25588540M</t>
  </si>
  <si>
    <t>Jose Manuel Fraidias Venegas</t>
  </si>
  <si>
    <t>Jose Manuel Sanchez Calvo</t>
  </si>
  <si>
    <t>36914865A</t>
  </si>
  <si>
    <t>Jose Maria Camarero Navas</t>
  </si>
  <si>
    <t>16777387Z</t>
  </si>
  <si>
    <t>Jose Maria Sanz Barrera</t>
  </si>
  <si>
    <t>Jose Miguel Vergara Olea</t>
  </si>
  <si>
    <t>Jose Peral Alvarez</t>
  </si>
  <si>
    <t>Jose Peran Salinas</t>
  </si>
  <si>
    <t>Jose Perez Gonzalez</t>
  </si>
  <si>
    <t>Jose Ramon Costales Silva</t>
  </si>
  <si>
    <t>Jose Roman Madrigal Esteban</t>
  </si>
  <si>
    <t>13132817R</t>
  </si>
  <si>
    <t>Juan Antonio Alonso Martinez</t>
  </si>
  <si>
    <t>Juan Carlos Berrocal Blanco</t>
  </si>
  <si>
    <t>12747536Q</t>
  </si>
  <si>
    <t>Juan Carlos Garcia Pellejero</t>
  </si>
  <si>
    <t>Juan Gonzalez Rodriguez</t>
  </si>
  <si>
    <t>44904793F</t>
  </si>
  <si>
    <t>Juan Guerra Marcos</t>
  </si>
  <si>
    <t>13085224H</t>
  </si>
  <si>
    <t xml:space="preserve">Juan Jesus Andino Juarros </t>
  </si>
  <si>
    <t>Juan Jose Muñoz Zamora</t>
  </si>
  <si>
    <t>71107508H</t>
  </si>
  <si>
    <t>Juan Luis Olivella</t>
  </si>
  <si>
    <t>Juan Pablo Esteban Fernandez</t>
  </si>
  <si>
    <t>Julian Garcia Ortega</t>
  </si>
  <si>
    <t>13295218E</t>
  </si>
  <si>
    <t>Julian Narro Martinez</t>
  </si>
  <si>
    <t>71260690C</t>
  </si>
  <si>
    <t>Julian Ochoa Bartolome</t>
  </si>
  <si>
    <t>Julio Cesar Martinez Santana</t>
  </si>
  <si>
    <t>Julio Jimenez Alvarez</t>
  </si>
  <si>
    <t>72119854L</t>
  </si>
  <si>
    <t>Julio Jorrin Mencia</t>
  </si>
  <si>
    <t>Kiko de Miguel Perales</t>
  </si>
  <si>
    <t>Laureano Alvarez Valderrabano</t>
  </si>
  <si>
    <t>71960068Z</t>
  </si>
  <si>
    <t>Lidia Duarte Cosgaya</t>
  </si>
  <si>
    <t>13144549A</t>
  </si>
  <si>
    <t>Luis Amo Fernandez</t>
  </si>
  <si>
    <t>Luis Corredor Millan</t>
  </si>
  <si>
    <t>72100483Z</t>
  </si>
  <si>
    <t>Maikel Piñal Gonzalez</t>
  </si>
  <si>
    <t>Manuel Alvarez Gonzalez</t>
  </si>
  <si>
    <t xml:space="preserve">Manuel Jose Carrasco Miranda </t>
  </si>
  <si>
    <t>13152974X</t>
  </si>
  <si>
    <t>Mariano Pardo Gonzalez</t>
  </si>
  <si>
    <t>13172654W</t>
  </si>
  <si>
    <t>Mario Manzanares Pino</t>
  </si>
  <si>
    <t>13759125L</t>
  </si>
  <si>
    <t>Matias Diez Cidad</t>
  </si>
  <si>
    <t>13079769Z</t>
  </si>
  <si>
    <t>Maximo Ausin Ausin</t>
  </si>
  <si>
    <t>Miguel Angel Dominguez Dieguez</t>
  </si>
  <si>
    <t>Miguel Angel Pascual Campo</t>
  </si>
  <si>
    <t>12222255D</t>
  </si>
  <si>
    <t>Miguel Angel Paunero</t>
  </si>
  <si>
    <t>13920113F</t>
  </si>
  <si>
    <t>Miguel Angel Piñal Gutierrez</t>
  </si>
  <si>
    <t>Miguel Ortega Escudero</t>
  </si>
  <si>
    <t>Nicanor Gonzalez Garcia</t>
  </si>
  <si>
    <t>Nicasio Moreno Moreno</t>
  </si>
  <si>
    <t>Nicolas Peña</t>
  </si>
  <si>
    <t>Olmedo Arrieta Fernando</t>
  </si>
  <si>
    <t>15249424X</t>
  </si>
  <si>
    <t>Oscar Ruiz Arbelaiz</t>
  </si>
  <si>
    <t>71931479Z</t>
  </si>
  <si>
    <t>Oscar Tejedor Fernandez</t>
  </si>
  <si>
    <t>Pablo Astola Madariaga</t>
  </si>
  <si>
    <t>11314265M</t>
  </si>
  <si>
    <t>Pablo Javier Quintanilla Garcia</t>
  </si>
  <si>
    <t>Pablo Jorge Pires Dos Santos</t>
  </si>
  <si>
    <t>Pablo Velazquez Delgado</t>
  </si>
  <si>
    <t>20208274Z</t>
  </si>
  <si>
    <t>Pedro Ramos Peña</t>
  </si>
  <si>
    <t>71931028T</t>
  </si>
  <si>
    <t>Pedro Saez de Abia</t>
  </si>
  <si>
    <t>Rafael Rodriguez Martin</t>
  </si>
  <si>
    <t>Rafael Rosado Favero</t>
  </si>
  <si>
    <t>12726324X</t>
  </si>
  <si>
    <t>Rafael Sanguino Andres</t>
  </si>
  <si>
    <t>45416818Y</t>
  </si>
  <si>
    <t>Rafael Velasco Santamaria</t>
  </si>
  <si>
    <t>Ramon Arranz Iglesias</t>
  </si>
  <si>
    <t>13075249W</t>
  </si>
  <si>
    <t>Raquel Perez Rollan</t>
  </si>
  <si>
    <t>71934620G</t>
  </si>
  <si>
    <t>13143035F</t>
  </si>
  <si>
    <t>72191347M</t>
  </si>
  <si>
    <t>Raul Alvarez Pedrejon</t>
  </si>
  <si>
    <t>13139467G</t>
  </si>
  <si>
    <t>Raul Cosgaya Merino</t>
  </si>
  <si>
    <t>Raul Zafra</t>
  </si>
  <si>
    <t>Restituto Saiz Bustillo</t>
  </si>
  <si>
    <t>11910577G</t>
  </si>
  <si>
    <t>Roberto Galbarriatu Pascual</t>
  </si>
  <si>
    <t>71296638L</t>
  </si>
  <si>
    <t>Roberto Garcia Arnaiz</t>
  </si>
  <si>
    <t>Roberto Guerra Garcia</t>
  </si>
  <si>
    <t>16776504M</t>
  </si>
  <si>
    <t>Roberto Morales Galera</t>
  </si>
  <si>
    <t>72884341D</t>
  </si>
  <si>
    <t>Roberto Morales Seron</t>
  </si>
  <si>
    <t>13164091H</t>
  </si>
  <si>
    <t>13165081L</t>
  </si>
  <si>
    <t>Rodrigo Garcia Gil</t>
  </si>
  <si>
    <t>Rogelio Anta Perez</t>
  </si>
  <si>
    <t>Rogelio Antonio Villanueva</t>
  </si>
  <si>
    <t>71273592L</t>
  </si>
  <si>
    <t>Ruben Albillos Gonzalez</t>
  </si>
  <si>
    <t>71263139P</t>
  </si>
  <si>
    <t>Ruben Alonso Izquierdo</t>
  </si>
  <si>
    <t>Ruben Berrocal Esteban</t>
  </si>
  <si>
    <t>12759918R</t>
  </si>
  <si>
    <t>Satiago Madrigal Gomez</t>
  </si>
  <si>
    <t>Sergio Bayo Arroyave</t>
  </si>
  <si>
    <t>Sergio Villazañe</t>
  </si>
  <si>
    <t>52414302Q</t>
  </si>
  <si>
    <t>Tomas Casado Hernandez</t>
  </si>
  <si>
    <t>Tomas Garcia Montero</t>
  </si>
  <si>
    <t>Tomas Martinez Alvarez</t>
  </si>
  <si>
    <t>Unai Landeta Zarate</t>
  </si>
  <si>
    <t>71928454W</t>
  </si>
  <si>
    <t>Veronica Nieto Ruiz</t>
  </si>
  <si>
    <t>Vicente Guerra</t>
  </si>
  <si>
    <t>17123171Q</t>
  </si>
  <si>
    <t>Victor Gonzalez Serrano</t>
  </si>
  <si>
    <t>71106847R</t>
  </si>
  <si>
    <t>Victor Izquierdo</t>
  </si>
  <si>
    <t>Victor Perez Leon</t>
  </si>
  <si>
    <t>Vidal Calvo Elena</t>
  </si>
  <si>
    <t>78876866E</t>
  </si>
  <si>
    <t>Xabier Etebarria Orozko</t>
  </si>
  <si>
    <t>ESCUADRA</t>
  </si>
  <si>
    <t>POS</t>
  </si>
  <si>
    <t>DORSAL</t>
  </si>
  <si>
    <t>PROV</t>
  </si>
  <si>
    <t>SUBC</t>
  </si>
  <si>
    <t>S-1</t>
  </si>
  <si>
    <t>S-2</t>
  </si>
  <si>
    <t>S-3</t>
  </si>
  <si>
    <t>S-4</t>
  </si>
  <si>
    <t>TOTAL</t>
  </si>
  <si>
    <t>SHOOT OFF</t>
  </si>
  <si>
    <t>FINAL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</si>
  <si>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</si>
  <si>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</si>
  <si>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</si>
  <si>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</si>
  <si>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</si>
  <si>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</si>
  <si>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</si>
  <si>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</si>
  <si>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</si>
  <si>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</si>
  <si>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</si>
  <si>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</si>
  <si>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</si>
  <si>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</si>
  <si>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</si>
  <si>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</si>
  <si>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</si>
  <si>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</si>
  <si>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</si>
  <si>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</si>
  <si>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</si>
  <si>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</si>
  <si>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</si>
  <si>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</si>
  <si>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</si>
  <si>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</si>
  <si>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</si>
  <si>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</si>
  <si>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</si>
  <si>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</si>
  <si>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</si>
  <si>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</si>
  <si>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</si>
  <si>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</si>
  <si>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</si>
  <si>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</si>
  <si>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</si>
  <si>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</si>
  <si>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</si>
  <si>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</si>
  <si>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</si>
  <si>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</si>
  <si>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</si>
  <si>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</si>
  <si>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</si>
  <si>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ESCUADRA   1</t>
  </si>
  <si>
    <t>SERIE_____________</t>
  </si>
  <si>
    <t>CANCHA</t>
  </si>
  <si>
    <t>ORDEN</t>
  </si>
  <si>
    <t>FDO.- ARBITRO PRINCIPAL</t>
  </si>
  <si>
    <t>ESCUADRA   2</t>
  </si>
  <si>
    <t>ESCUADRA   3</t>
  </si>
  <si>
    <t>ESCUADRA   4</t>
  </si>
  <si>
    <t>ESCUADRA   5</t>
  </si>
  <si>
    <t>ESCUADRA   6</t>
  </si>
  <si>
    <t>ESCUADRA   7</t>
  </si>
  <si>
    <t>ESCUADRA   8</t>
  </si>
  <si>
    <t>ESCUADRA   9</t>
  </si>
  <si>
    <t>ESCUADRA   10</t>
  </si>
  <si>
    <t>ESCUADRA   11</t>
  </si>
  <si>
    <t>ESCUADRA   12</t>
  </si>
  <si>
    <t>ESCUADRA   13</t>
  </si>
  <si>
    <t>ESCUADRA   14</t>
  </si>
  <si>
    <t>ESCUADRA   15</t>
  </si>
  <si>
    <t>ESCUADRA   16</t>
  </si>
  <si>
    <t>ESCUADRA   17</t>
  </si>
  <si>
    <t>ESCUADRA   18</t>
  </si>
  <si>
    <t>ESCUADRA   19</t>
  </si>
  <si>
    <t>ESCUADRA   20</t>
  </si>
  <si>
    <t>ESCUADRA   21</t>
  </si>
  <si>
    <t>budvar</t>
  </si>
  <si>
    <t>TIRADA 100 PLATOS FU</t>
  </si>
  <si>
    <t>Candido Jesus Riol Menendez</t>
  </si>
  <si>
    <t>3426132E</t>
  </si>
  <si>
    <t>Antonio Saiz Antolin "FARRU"</t>
  </si>
  <si>
    <t>Diego Gallardo Garcia</t>
  </si>
  <si>
    <t>Andres Hernandez Barriuso</t>
  </si>
  <si>
    <t>71791809T</t>
  </si>
  <si>
    <t>Pablo Alonso Delgado</t>
  </si>
  <si>
    <t>Raul Aguado Martin</t>
  </si>
  <si>
    <t>71239672R</t>
  </si>
  <si>
    <t>Abel Nuñez Gete</t>
  </si>
  <si>
    <t>13164487T</t>
  </si>
  <si>
    <t>Andres Barrio Garcia</t>
  </si>
  <si>
    <t>45424838E</t>
  </si>
  <si>
    <t>13169677S</t>
  </si>
  <si>
    <t>Cesar Fernandez Ruiz</t>
  </si>
  <si>
    <t>71101950A</t>
  </si>
  <si>
    <t xml:space="preserve">DAVID DELGADO MONGE, </t>
  </si>
  <si>
    <t>71100768V</t>
  </si>
  <si>
    <t>Fernando Gonzalez Peña</t>
  </si>
  <si>
    <t>71101590B</t>
  </si>
  <si>
    <t>Francisco Aguado Mencia</t>
  </si>
  <si>
    <t>13121422Z</t>
  </si>
  <si>
    <t>Ignacio Merino Garcia</t>
  </si>
  <si>
    <t>12759532Y</t>
  </si>
  <si>
    <t>Isaac Macho Gutierrez</t>
  </si>
  <si>
    <t>71305317G</t>
  </si>
  <si>
    <t>JAIME HERNÁNDEZ BARRIUSO</t>
  </si>
  <si>
    <t>13092805D</t>
  </si>
  <si>
    <t>71933918S</t>
  </si>
  <si>
    <t>Javier Gil Cordero</t>
  </si>
  <si>
    <t>45572861V</t>
  </si>
  <si>
    <t>Javier Heredero Martin</t>
  </si>
  <si>
    <t>71296907N</t>
  </si>
  <si>
    <t>71104012H</t>
  </si>
  <si>
    <t>Jorge Rodrigo Ochoa "J.R."</t>
  </si>
  <si>
    <t>13114622E</t>
  </si>
  <si>
    <t>Jose Fernando Marin Lazaro</t>
  </si>
  <si>
    <t>13123927N</t>
  </si>
  <si>
    <t>Jose Luis Calzada Benito</t>
  </si>
  <si>
    <t>13146874M</t>
  </si>
  <si>
    <t>Jose Manuel Santos del Cura</t>
  </si>
  <si>
    <t>Jose Maria Garci Rubio</t>
  </si>
  <si>
    <t>15153979S</t>
  </si>
  <si>
    <t>Jose Miguel Nebreda Cuesta</t>
  </si>
  <si>
    <t>Jose Tomas Barrio Mayor</t>
  </si>
  <si>
    <t>71107021Z</t>
  </si>
  <si>
    <t>Juan Cruz Palacios Antona</t>
  </si>
  <si>
    <t>71101237A</t>
  </si>
  <si>
    <t>Juan Manuel Arranz Rincon</t>
  </si>
  <si>
    <t>12361492Q</t>
  </si>
  <si>
    <t>Juan Pedro Esteban Plaza</t>
  </si>
  <si>
    <t>45420768T</t>
  </si>
  <si>
    <t>71264338B</t>
  </si>
  <si>
    <t>Oscar Ramiro Santamaria Garcia</t>
  </si>
  <si>
    <t>13018718M</t>
  </si>
  <si>
    <t>13037400B</t>
  </si>
  <si>
    <t>Patrocinio Miravalles Juarros</t>
  </si>
  <si>
    <t>71258873C</t>
  </si>
  <si>
    <t>Ramon Martinez Lopez</t>
  </si>
  <si>
    <t>13145418K</t>
  </si>
  <si>
    <t>Raul Escribano Collantes</t>
  </si>
  <si>
    <t>Roberto Santamaria Alonso</t>
  </si>
  <si>
    <t>71107759Q</t>
  </si>
  <si>
    <t>Ruben Gonzalez Crespo</t>
  </si>
  <si>
    <t>45418784V</t>
  </si>
  <si>
    <t xml:space="preserve">Sebastian de Ribera Guillen </t>
  </si>
  <si>
    <t>12782230A</t>
  </si>
  <si>
    <t>Sergio Noriega Primo</t>
  </si>
  <si>
    <t>13114409Q</t>
  </si>
  <si>
    <t>Teodoro Sanz de Sebastian</t>
  </si>
  <si>
    <t>13140327J</t>
  </si>
  <si>
    <t>Tomas Velasco Velasco</t>
  </si>
  <si>
    <t>13167260J</t>
  </si>
  <si>
    <t>Valentin Gutierrez Martin</t>
  </si>
  <si>
    <t>71108725Q</t>
  </si>
  <si>
    <t>VÍCTOR BENGOECHEA CALPE</t>
  </si>
  <si>
    <t>13098279D</t>
  </si>
  <si>
    <t>72443835E</t>
  </si>
  <si>
    <t>Xavier Azpeitia Beguiristain</t>
  </si>
  <si>
    <t>71457094G</t>
  </si>
  <si>
    <t>14573239W</t>
  </si>
  <si>
    <t>Antolin Astonda Ualde</t>
  </si>
  <si>
    <t>76946147S</t>
  </si>
  <si>
    <t>Antonio Menendez</t>
  </si>
  <si>
    <t>35773902R</t>
  </si>
  <si>
    <t>Antonio Murua Arruti</t>
  </si>
  <si>
    <t>72083189Q</t>
  </si>
  <si>
    <t>Antonio Peña Herrero</t>
  </si>
  <si>
    <t>10584288X</t>
  </si>
  <si>
    <t>Aurelio Gonzalez Fueyo</t>
  </si>
  <si>
    <t>VT</t>
  </si>
  <si>
    <t>52412504N</t>
  </si>
  <si>
    <t>Bruno Martin Moriño</t>
  </si>
  <si>
    <t>70909345T</t>
  </si>
  <si>
    <t>Daniel Alonso Rodriguez</t>
  </si>
  <si>
    <t>71431147R</t>
  </si>
  <si>
    <t>David Perez Llamazares</t>
  </si>
  <si>
    <t>30662523G</t>
  </si>
  <si>
    <t>Diego Fernandez Martinez</t>
  </si>
  <si>
    <t>13707185J</t>
  </si>
  <si>
    <t>30626697N</t>
  </si>
  <si>
    <t>10176612D</t>
  </si>
  <si>
    <t>16292565D</t>
  </si>
  <si>
    <t>Francisco Javier Trujillo Jimenez</t>
  </si>
  <si>
    <t>16052696F</t>
  </si>
  <si>
    <t>Francisco Salor Vivas</t>
  </si>
  <si>
    <t>13130212H</t>
  </si>
  <si>
    <t>Gabriel Santamaria Alonso</t>
  </si>
  <si>
    <t>44153306E</t>
  </si>
  <si>
    <t>Ibon Aguirre Alkorta</t>
  </si>
  <si>
    <t>29151416C</t>
  </si>
  <si>
    <t>Iñaqui Oloriz Sanz</t>
  </si>
  <si>
    <t>Jaime Hernandez Hortiguela</t>
  </si>
  <si>
    <t>30610884T</t>
  </si>
  <si>
    <t>Javier Barona Gonzalez</t>
  </si>
  <si>
    <t>16609844A</t>
  </si>
  <si>
    <t>Jesus Llorente Velasco</t>
  </si>
  <si>
    <t>71518687A</t>
  </si>
  <si>
    <t>Jesus Manrique Merayo</t>
  </si>
  <si>
    <t>13138900N</t>
  </si>
  <si>
    <t>Joaquin Santaeufemia Alevia -CAÑITA-</t>
  </si>
  <si>
    <t>53559205W</t>
  </si>
  <si>
    <t>Jose Antonio Fonseca Del Santo</t>
  </si>
  <si>
    <t>14861367D</t>
  </si>
  <si>
    <t>10509166Y</t>
  </si>
  <si>
    <t>44397650Z</t>
  </si>
  <si>
    <t>Jose Francisco Hontecillas Moratalla</t>
  </si>
  <si>
    <t>Jose Mª Garci Rubio</t>
  </si>
  <si>
    <t>71633270T</t>
  </si>
  <si>
    <t>Jose Manuel Martinez Alvarez</t>
  </si>
  <si>
    <t>71620702J</t>
  </si>
  <si>
    <t>Jose Manuel Velasco Solis</t>
  </si>
  <si>
    <t>6554327V</t>
  </si>
  <si>
    <t>11966865B</t>
  </si>
  <si>
    <t>6509415R</t>
  </si>
  <si>
    <t>09745265G</t>
  </si>
  <si>
    <t>Juan Manuel Fortes Alvarez</t>
  </si>
  <si>
    <t>72832874Q</t>
  </si>
  <si>
    <t>Julen Rodriguez Rafael</t>
  </si>
  <si>
    <t>1418A</t>
  </si>
  <si>
    <t>Julio Lamperal Carbajo</t>
  </si>
  <si>
    <t>4544769S</t>
  </si>
  <si>
    <t>Luis Chavarria Sevilla</t>
  </si>
  <si>
    <t>16780034Q</t>
  </si>
  <si>
    <t>53528077Q</t>
  </si>
  <si>
    <t>Mª Antonia Diaz Cuervo</t>
  </si>
  <si>
    <t>Manuel Angel Lorenzo Noriega</t>
  </si>
  <si>
    <t>22702523M</t>
  </si>
  <si>
    <t>Manuel Barrena Campo</t>
  </si>
  <si>
    <t>46823444K</t>
  </si>
  <si>
    <t>Manuel Muñoz Pedrosa</t>
  </si>
  <si>
    <t>16278406H</t>
  </si>
  <si>
    <t>Modesto Rodriguez Ibañez</t>
  </si>
  <si>
    <t>15950078P</t>
  </si>
  <si>
    <t>Nicasio Moreno Sanchez</t>
  </si>
  <si>
    <t>Norberto</t>
  </si>
  <si>
    <t>Oier Macazaga Aseumendi</t>
  </si>
  <si>
    <t>44680789T</t>
  </si>
  <si>
    <t>Raul Carrasco benitez</t>
  </si>
  <si>
    <t>Rodrigo Asenso Camin</t>
  </si>
  <si>
    <t>Salvador Reguera Rodriguez</t>
  </si>
  <si>
    <t>30617605M</t>
  </si>
  <si>
    <t>Unai Loyola Yurrebaso</t>
  </si>
  <si>
    <t>Victor Díaz Martin</t>
  </si>
  <si>
    <t>Victor Manuel Perez Leon</t>
  </si>
  <si>
    <t>12391017C</t>
  </si>
  <si>
    <t>Carlos Ventura</t>
  </si>
  <si>
    <t>12755878D</t>
  </si>
  <si>
    <t>Jesus Alvarez Lopez</t>
  </si>
  <si>
    <t>13129515B</t>
  </si>
  <si>
    <t>Igor Sergio Catalina</t>
  </si>
  <si>
    <t>Jose Antonio Tirado De La Fuente</t>
  </si>
  <si>
    <t>04867413Y</t>
  </si>
  <si>
    <t>71279438T</t>
  </si>
  <si>
    <t>Ivan Gonzalez Palacin</t>
  </si>
  <si>
    <t>0</t>
  </si>
  <si>
    <t>0000_1111</t>
  </si>
  <si>
    <t>0000_1112</t>
  </si>
  <si>
    <t xml:space="preserve">Gregorio Fuentes Manzano </t>
  </si>
  <si>
    <t>0000_1113</t>
  </si>
  <si>
    <t>Mario Sanchez</t>
  </si>
  <si>
    <t>0000_1114</t>
  </si>
  <si>
    <t>0000_6865</t>
  </si>
  <si>
    <t>Galder Garcia Astigarraga</t>
  </si>
  <si>
    <t>45421863Z</t>
  </si>
  <si>
    <t>45575626E</t>
  </si>
  <si>
    <t>Ricardo Rojo Gonzalez</t>
  </si>
  <si>
    <t>71108336H</t>
  </si>
  <si>
    <t>Nicolas Velasco Perez</t>
  </si>
  <si>
    <t>12407130X</t>
  </si>
  <si>
    <t>Javier de la Camara Izquierdo</t>
  </si>
  <si>
    <t>05352510L</t>
  </si>
  <si>
    <t xml:space="preserve"> "EL CERRO" 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</si>
  <si>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</si>
  <si>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</si>
  <si>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</si>
  <si>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</si>
  <si>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</si>
  <si>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</si>
  <si>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</si>
  <si>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</si>
  <si>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</si>
  <si>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</si>
  <si>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</si>
  <si>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</si>
  <si>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</si>
  <si>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</si>
  <si>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</si>
  <si>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03460568B</t>
  </si>
  <si>
    <t>56043080S</t>
  </si>
  <si>
    <t>2015-A</t>
  </si>
  <si>
    <t>Josu Mendina Diz</t>
  </si>
  <si>
    <t>0335-A</t>
  </si>
  <si>
    <t>0195-B</t>
  </si>
  <si>
    <t>0197-A</t>
  </si>
  <si>
    <t xml:space="preserve"> M </t>
  </si>
  <si>
    <t>1111_111E</t>
  </si>
  <si>
    <t>1111_111B</t>
  </si>
  <si>
    <t>2267_B</t>
  </si>
  <si>
    <t>4234-B</t>
  </si>
  <si>
    <t>5582-B</t>
  </si>
  <si>
    <t>0537-G</t>
  </si>
  <si>
    <t>4522-B</t>
  </si>
  <si>
    <t>0469-A</t>
  </si>
  <si>
    <t>1708-A</t>
  </si>
  <si>
    <t>5608-B</t>
  </si>
  <si>
    <t>2504-B</t>
  </si>
  <si>
    <t>3323-B</t>
  </si>
  <si>
    <t>3603-B</t>
  </si>
  <si>
    <t>2603-B</t>
  </si>
  <si>
    <t>3918-B</t>
  </si>
  <si>
    <t>1702-A</t>
  </si>
  <si>
    <t>1986-G</t>
  </si>
  <si>
    <t>2502-G</t>
  </si>
  <si>
    <t>1677-A</t>
  </si>
  <si>
    <t>5203-B</t>
  </si>
  <si>
    <t>1451-B</t>
  </si>
  <si>
    <t>0741-A</t>
  </si>
  <si>
    <t>09431070N</t>
  </si>
  <si>
    <t>09724330E</t>
  </si>
  <si>
    <t>09768138S</t>
  </si>
  <si>
    <t>09768273N</t>
  </si>
  <si>
    <t>09780098S</t>
  </si>
  <si>
    <t>09784904Z</t>
  </si>
  <si>
    <t>09806794P</t>
  </si>
  <si>
    <t>Pascual Pacheco Pacheco</t>
  </si>
  <si>
    <t>0000_1115</t>
  </si>
  <si>
    <t>Esteban Lopez</t>
  </si>
  <si>
    <t>Raul Alonso Saiz</t>
  </si>
  <si>
    <t>0000_2332</t>
  </si>
  <si>
    <t>Jose Herrera</t>
  </si>
  <si>
    <t>0000_2333</t>
  </si>
  <si>
    <t>Flor Rojo</t>
  </si>
  <si>
    <t>0000_1116</t>
  </si>
  <si>
    <t>Javier Echevarria</t>
  </si>
  <si>
    <t>0000_1117</t>
  </si>
  <si>
    <t>Oscar Zabala</t>
  </si>
  <si>
    <t xml:space="preserve">Jon Kevin Fajardo Melendez </t>
  </si>
  <si>
    <t>0000_1118</t>
  </si>
  <si>
    <t>Humberto Hurtado</t>
  </si>
  <si>
    <t>03441458Z</t>
  </si>
  <si>
    <t>Arnulfo Rodriguez Torrego</t>
  </si>
  <si>
    <t>72884261K</t>
  </si>
  <si>
    <t>Fernando Arribas</t>
  </si>
  <si>
    <t>Rufino Ruiz Orosa</t>
  </si>
  <si>
    <t>71885659Q</t>
  </si>
  <si>
    <t>Felipe Marina Gañan</t>
  </si>
  <si>
    <t>3700-N</t>
  </si>
  <si>
    <t>45744493T</t>
  </si>
  <si>
    <t>Guillermo Blanco Garcia</t>
  </si>
  <si>
    <t>6709-N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</si>
</sst>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0"/>
      <name val="Arial"/>
      <family val="2"/>
    </font>
    <font>
      <b/>
      <sz val="10"/>
      <name val="Arial"/>
      <family val="2"/>
    </font>
    <font>
      <b/>
      <sz val="3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24"/>
      <color theme="4"/>
      <name val="Arial"/>
      <family val="2"/>
    </font>
    <font>
      <sz val="10"/>
      <color rgb="FFE60000"/>
      <name val="Arial"/>
      <family val="2"/>
    </font>
    <font>
      <b/>
      <sz val="12"/>
      <color rgb="FFE60000"/>
      <name val="Arial"/>
      <family val="2"/>
    </font>
    <font>
      <sz val="14"/>
      <color rgb="FFE60000"/>
      <name val="Arial"/>
      <family val="2"/>
    </font>
    <font>
      <sz val="10"/>
      <color theme="0"/>
      <name val="Arial"/>
      <family val="2"/>
    </font>
    <font>
      <b/>
      <sz val="22"/>
      <color theme="4" tint="-0.249977111117893"/>
      <name val="Arial"/>
      <family val="2"/>
    </font>
    <font>
      <b/>
      <sz val="12"/>
      <color theme="8" tint="0.39997558519241921"/>
      <name val="Arial"/>
      <family val="2"/>
    </font>
    <font>
      <sz val="14"/>
      <color theme="8" tint="0.39997558519241921"/>
      <name val="Arial"/>
      <family val="2"/>
    </font>
    <font>
      <sz val="10"/>
      <color theme="8" tint="0.39997558519241921"/>
      <name val="Arial"/>
      <family val="2"/>
    </font>
    <font>
      <b/>
      <sz val="14"/>
      <color theme="8" tint="0.39997558519241921"/>
      <name val="Arial"/>
      <family val="2"/>
    </font>
    <font>
      <sz val="12"/>
      <color theme="8" tint="0.39997558519241921"/>
      <name val="Arial"/>
      <family val="2"/>
    </font>
    <font>
      <b/>
      <sz val="10"/>
      <color rgb="FF000000"/>
      <name val="Arial"/>
      <family val="2"/>
    </font>
    <font>
      <sz val="12"/>
      <color rgb="FFFF0000"/>
      <name val="Arial"/>
      <family val="2"/>
    </font>
    <font>
      <b/>
      <sz val="14"/>
      <color rgb="FFFF0000"/>
      <name val="Calibri Light"/>
      <family val="2"/>
      <scheme val="major"/>
    </font>
    <font>
      <b/>
      <sz val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41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8"/>
        <bgColor indexed="58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/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0" fillId="0" borderId="10" xfId="0" applyBorder="1"/>
    <xf numFmtId="49" fontId="1" fillId="0" borderId="0" xfId="0" applyNumberFormat="1" applyFont="1" applyAlignment="1">
      <alignment horizontal="center" vertic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7" borderId="17" xfId="0" applyFont="1" applyFill="1" applyBorder="1" applyAlignment="1">
      <alignment horizontal="center" vertical="center" shrinkToFit="1"/>
    </xf>
    <xf numFmtId="0" fontId="1" fillId="8" borderId="18" xfId="0" applyFont="1" applyFill="1" applyBorder="1" applyAlignment="1">
      <alignment horizontal="center"/>
    </xf>
    <xf numFmtId="0" fontId="1" fillId="8" borderId="19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 vertical="center" shrinkToFit="1"/>
    </xf>
    <xf numFmtId="0" fontId="0" fillId="9" borderId="18" xfId="0" applyFill="1" applyBorder="1" applyAlignment="1">
      <alignment horizontal="center" vertical="center" shrinkToFit="1"/>
    </xf>
    <xf numFmtId="0" fontId="1" fillId="3" borderId="13" xfId="0" applyFont="1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1" fillId="3" borderId="15" xfId="0" applyFont="1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49" fontId="1" fillId="0" borderId="0" xfId="0" applyNumberFormat="1" applyFont="1" applyAlignment="1">
      <alignment vertical="center"/>
    </xf>
    <xf numFmtId="0" fontId="0" fillId="10" borderId="0" xfId="0" applyFill="1"/>
    <xf numFmtId="0" fontId="0" fillId="0" borderId="0" xfId="0" applyAlignment="1">
      <alignment horizontal="left"/>
    </xf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/>
    </xf>
    <xf numFmtId="0" fontId="0" fillId="0" borderId="0" xfId="0" applyAlignment="1">
      <alignment horizontal="center" vertical="center" shrinkToFit="1"/>
    </xf>
    <xf numFmtId="0" fontId="1" fillId="0" borderId="0" xfId="0" applyFont="1" applyAlignment="1">
      <alignment horizontal="center" vertical="center" shrinkToFit="1"/>
    </xf>
    <xf numFmtId="0" fontId="1" fillId="0" borderId="0" xfId="0" applyFont="1" applyAlignment="1">
      <alignment horizont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49" fontId="7" fillId="0" borderId="0" xfId="0" applyNumberFormat="1" applyFont="1" applyAlignment="1" applyProtection="1">
      <alignment horizontal="center" vertical="center"/>
      <protection locked="0"/>
    </xf>
    <xf numFmtId="49" fontId="7" fillId="0" borderId="26" xfId="0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7" fillId="0" borderId="21" xfId="0" applyNumberFormat="1" applyFont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" fontId="7" fillId="0" borderId="26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Alignment="1" applyProtection="1">
      <alignment horizontal="center"/>
      <protection locked="0"/>
    </xf>
    <xf numFmtId="0" fontId="1" fillId="2" borderId="28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0" fontId="7" fillId="0" borderId="21" xfId="0" applyFont="1" applyBorder="1" applyAlignment="1">
      <alignment horizontal="left" vertical="center"/>
    </xf>
    <xf numFmtId="0" fontId="7" fillId="0" borderId="21" xfId="0" applyFont="1" applyBorder="1" applyAlignment="1">
      <alignment horizontal="center" vertical="center"/>
    </xf>
    <xf numFmtId="3" fontId="7" fillId="0" borderId="21" xfId="0" applyNumberFormat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7" fillId="0" borderId="26" xfId="0" applyFont="1" applyBorder="1" applyAlignment="1">
      <alignment horizontal="left" vertical="center"/>
    </xf>
    <xf numFmtId="0" fontId="7" fillId="0" borderId="26" xfId="0" applyFont="1" applyBorder="1" applyAlignment="1">
      <alignment horizontal="center" vertical="center"/>
    </xf>
    <xf numFmtId="3" fontId="7" fillId="0" borderId="26" xfId="0" applyNumberFormat="1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9" fillId="12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49" fontId="8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49" fontId="6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horizontal="center" vertical="center" wrapText="1"/>
    </xf>
    <xf numFmtId="0" fontId="2" fillId="0" borderId="0" xfId="0" applyFont="1"/>
    <xf numFmtId="0" fontId="10" fillId="13" borderId="0" xfId="0" applyFont="1" applyFill="1" applyAlignment="1">
      <alignment horizontal="left" vertical="center"/>
    </xf>
    <xf numFmtId="0" fontId="10" fillId="13" borderId="0" xfId="0" applyFont="1" applyFill="1" applyAlignment="1">
      <alignment horizontal="center" vertical="center"/>
    </xf>
    <xf numFmtId="0" fontId="11" fillId="13" borderId="0" xfId="0" applyFont="1" applyFill="1" applyAlignment="1">
      <alignment vertical="center"/>
    </xf>
    <xf numFmtId="0" fontId="11" fillId="13" borderId="0" xfId="0" applyFont="1" applyFill="1" applyAlignment="1">
      <alignment horizontal="center" vertical="center"/>
    </xf>
    <xf numFmtId="0" fontId="17" fillId="13" borderId="0" xfId="0" applyFont="1" applyFill="1" applyAlignment="1" applyProtection="1">
      <alignment horizontal="center" vertical="center"/>
      <protection locked="0"/>
    </xf>
    <xf numFmtId="0" fontId="0" fillId="13" borderId="0" xfId="0" applyFill="1" applyAlignment="1">
      <alignment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 applyProtection="1">
      <alignment horizontal="center" vertical="center"/>
      <protection locked="0"/>
    </xf>
    <xf numFmtId="0" fontId="18" fillId="13" borderId="0" xfId="0" applyFont="1" applyFill="1" applyAlignment="1" applyProtection="1">
      <alignment horizontal="center" vertical="center" wrapText="1"/>
      <protection locked="0"/>
    </xf>
    <xf numFmtId="49" fontId="6" fillId="2" borderId="29" xfId="0" applyNumberFormat="1" applyFont="1" applyFill="1" applyBorder="1" applyAlignment="1" applyProtection="1">
      <alignment horizontal="center" vertical="center"/>
      <protection locked="0"/>
    </xf>
    <xf numFmtId="49" fontId="6" fillId="2" borderId="30" xfId="0" applyNumberFormat="1" applyFont="1" applyFill="1" applyBorder="1" applyAlignment="1" applyProtection="1">
      <alignment horizontal="center" vertical="center"/>
      <protection locked="0"/>
    </xf>
    <xf numFmtId="0" fontId="6" fillId="2" borderId="30" xfId="0" applyFont="1" applyFill="1" applyBorder="1" applyAlignment="1">
      <alignment horizontal="left" vertical="center"/>
    </xf>
    <xf numFmtId="0" fontId="6" fillId="2" borderId="30" xfId="0" applyFont="1" applyFill="1" applyBorder="1" applyAlignment="1">
      <alignment horizontal="center" vertical="center"/>
    </xf>
    <xf numFmtId="3" fontId="6" fillId="2" borderId="30" xfId="0" applyNumberFormat="1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 applyProtection="1">
      <alignment horizontal="center" vertical="center"/>
      <protection locked="0"/>
    </xf>
    <xf numFmtId="0" fontId="6" fillId="2" borderId="31" xfId="0" applyFont="1" applyFill="1" applyBorder="1" applyAlignment="1">
      <alignment horizontal="center" vertical="center"/>
    </xf>
    <xf numFmtId="0" fontId="6" fillId="2" borderId="32" xfId="0" applyFont="1" applyFill="1" applyBorder="1" applyAlignment="1" applyProtection="1">
      <alignment horizontal="center" vertical="center"/>
      <protection locked="0"/>
    </xf>
    <xf numFmtId="0" fontId="6" fillId="2" borderId="33" xfId="0" applyFont="1" applyFill="1" applyBorder="1" applyAlignment="1">
      <alignment horizontal="center" vertical="center"/>
    </xf>
    <xf numFmtId="0" fontId="19" fillId="13" borderId="0" xfId="0" applyFont="1" applyFill="1" applyAlignment="1" applyProtection="1">
      <alignment vertical="center"/>
      <protection locked="0"/>
    </xf>
    <xf numFmtId="0" fontId="20" fillId="13" borderId="0" xfId="0" applyFont="1" applyFill="1" applyAlignment="1">
      <alignment horizontal="center" vertical="center"/>
    </xf>
    <xf numFmtId="49" fontId="21" fillId="13" borderId="0" xfId="0" applyNumberFormat="1" applyFont="1" applyFill="1" applyAlignment="1">
      <alignment horizontal="center" vertical="center"/>
    </xf>
    <xf numFmtId="1" fontId="22" fillId="13" borderId="0" xfId="0" applyNumberFormat="1" applyFont="1" applyFill="1" applyAlignment="1">
      <alignment horizontal="center" vertical="center"/>
    </xf>
    <xf numFmtId="0" fontId="20" fillId="13" borderId="0" xfId="0" applyFont="1" applyFill="1" applyAlignment="1">
      <alignment vertical="center"/>
    </xf>
    <xf numFmtId="0" fontId="18" fillId="13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center" vertical="center"/>
    </xf>
    <xf numFmtId="0" fontId="22" fillId="13" borderId="0" xfId="0" applyFont="1" applyFill="1" applyAlignment="1">
      <alignment vertical="center"/>
    </xf>
    <xf numFmtId="0" fontId="9" fillId="14" borderId="0" xfId="0" applyFont="1" applyFill="1" applyAlignment="1" applyProtection="1">
      <alignment horizontal="center" vertical="center"/>
      <protection locked="0"/>
    </xf>
    <xf numFmtId="1" fontId="7" fillId="14" borderId="0" xfId="0" applyNumberFormat="1" applyFont="1" applyFill="1" applyAlignment="1">
      <alignment horizontal="center" vertical="center"/>
    </xf>
    <xf numFmtId="0" fontId="7" fillId="14" borderId="0" xfId="0" applyFont="1" applyFill="1" applyAlignment="1">
      <alignment vertical="center"/>
    </xf>
    <xf numFmtId="0" fontId="7" fillId="14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34" xfId="0" applyBorder="1" applyAlignment="1">
      <alignment horizontal="center"/>
    </xf>
    <xf numFmtId="4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11" borderId="34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49" fontId="0" fillId="11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11" borderId="0" xfId="0" applyNumberFormat="1" applyFill="1" applyAlignment="1">
      <alignment horizontal="center"/>
    </xf>
    <xf numFmtId="49" fontId="24" fillId="0" borderId="21" xfId="0" applyNumberFormat="1" applyFont="1" applyBorder="1" applyAlignment="1" applyProtection="1">
      <alignment horizontal="center"/>
      <protection locked="0"/>
    </xf>
    <xf numFmtId="49" fontId="24" fillId="0" borderId="0" xfId="0" applyNumberFormat="1" applyFont="1" applyAlignment="1" applyProtection="1">
      <alignment horizontal="center"/>
      <protection locked="0"/>
    </xf>
    <xf numFmtId="49" fontId="24" fillId="0" borderId="26" xfId="0" applyNumberFormat="1" applyFont="1" applyBorder="1" applyAlignment="1" applyProtection="1">
      <alignment horizontal="center"/>
      <protection locked="0"/>
    </xf>
    <xf numFmtId="49" fontId="24" fillId="0" borderId="26" xfId="0" applyNumberFormat="1" applyFont="1" applyBorder="1" applyAlignment="1" applyProtection="1">
      <alignment horizontal="center" vertical="center"/>
      <protection locked="0"/>
    </xf>
    <xf numFmtId="0" fontId="2" fillId="15" borderId="0" xfId="0" applyFont="1" applyFill="1"/>
    <xf numFmtId="0" fontId="1" fillId="15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1" fontId="7" fillId="0" borderId="35" xfId="0" applyNumberFormat="1" applyFont="1" applyBorder="1" applyAlignment="1" applyProtection="1">
      <alignment horizontal="center" vertical="center"/>
      <protection locked="0"/>
    </xf>
    <xf numFmtId="1" fontId="7" fillId="0" borderId="23" xfId="0" applyNumberFormat="1" applyFont="1" applyBorder="1" applyAlignment="1" applyProtection="1">
      <alignment horizontal="center" vertical="center"/>
      <protection locked="0"/>
    </xf>
    <xf numFmtId="1" fontId="7" fillId="0" borderId="25" xfId="0" applyNumberFormat="1" applyFont="1" applyBorder="1" applyAlignment="1" applyProtection="1">
      <alignment horizontal="center" vertical="center"/>
      <protection locked="0"/>
    </xf>
    <xf numFmtId="49" fontId="24" fillId="0" borderId="21" xfId="0" applyNumberFormat="1" applyFont="1" applyBorder="1" applyAlignment="1" applyProtection="1">
      <alignment horizontal="center" vertical="center"/>
      <protection locked="0"/>
    </xf>
    <xf numFmtId="49" fontId="24" fillId="0" borderId="0" xfId="0" applyNumberFormat="1" applyFont="1" applyAlignment="1" applyProtection="1">
      <alignment horizontal="center" vertical="center"/>
      <protection locked="0"/>
    </xf>
    <xf numFmtId="49" fontId="7" fillId="3" borderId="26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5" fillId="0" borderId="0" xfId="0" applyFont="1" applyAlignment="1" applyProtection="1">
      <alignment vertical="center"/>
      <protection locked="0"/>
    </xf>
    <xf numFmtId="49" fontId="14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3" fontId="14" fillId="0" borderId="0" xfId="0" applyNumberFormat="1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>
      <alignment horizontal="center" vertical="center" wrapText="1"/>
    </xf>
    <xf numFmtId="0" fontId="3" fillId="15" borderId="0" xfId="0" applyFont="1" applyFill="1" applyAlignment="1" applyProtection="1">
      <alignment horizontal="center" vertical="center"/>
      <protection locked="0"/>
    </xf>
    <xf numFmtId="0" fontId="3" fillId="15" borderId="20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</cellXfs>
  <cellStyles count="1">
    <cellStyle name="Normal" xfId="0" builtinId="0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vertical="center" textRotation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lor theme="0"/>
      </font>
      <fill>
        <patternFill>
          <bgColor rgb="FFFF5050"/>
        </patternFill>
      </fill>
    </dxf>
    <dxf>
      <font>
        <b/>
        <i val="0"/>
        <strike val="0"/>
        <color theme="0"/>
      </font>
      <fill>
        <patternFill>
          <bgColor rgb="FFFF505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left style="thin">
          <color indexed="8"/>
        </left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31"/>
          <bgColor indexed="2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 val="0"/>
      </font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lor theme="0"/>
      </font>
      <fill>
        <patternFill>
          <bgColor rgb="FFFF5050"/>
        </patternFill>
      </fill>
    </dxf>
    <dxf>
      <fill>
        <patternFill>
          <bgColor theme="8"/>
        </patternFill>
      </fill>
    </dxf>
  </dxfs>
  <tableStyles count="1" defaultTableStyle="TableStyleMedium6" defaultPivotStyle="PivotStyleLight16">
    <tableStyle name="Estilo de tabla dinámica 1" table="0" count="1" xr9:uid="{2BD6C3CC-567A-4AF6-9DA5-5D844C8F6B61}">
      <tableStyleElement type="pageFieldValues" dxfId="84"/>
    </tableStyle>
  </tableStyles>
  <colors>
    <mruColors>
      <color rgb="FF794419"/>
      <color rgb="FFE60000"/>
      <color rgb="FFD60000"/>
      <color rgb="FF6F3F17"/>
      <color rgb="FFFF5050"/>
      <color rgb="FF10AC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9525</xdr:rowOff>
        </xdr:from>
        <xdr:to>
          <xdr:col>11</xdr:col>
          <xdr:colOff>352425</xdr:colOff>
          <xdr:row>22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 Tirador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146994</xdr:colOff>
      <xdr:row>0</xdr:row>
      <xdr:rowOff>47625</xdr:rowOff>
    </xdr:from>
    <xdr:to>
      <xdr:col>11</xdr:col>
      <xdr:colOff>0</xdr:colOff>
      <xdr:row>2</xdr:row>
      <xdr:rowOff>597142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650" y="47625"/>
          <a:ext cx="1561553" cy="1257939"/>
        </a:xfrm>
        <a:prstGeom prst="rect">
          <a:avLst/>
        </a:prstGeom>
        <a:ln>
          <a:solidFill>
            <a:schemeClr val="accent1"/>
          </a:solidFill>
        </a:ln>
        <a:effectLst>
          <a:glow>
            <a:srgbClr val="0070C0"/>
          </a:glow>
          <a:outerShdw blurRad="50800" sx="1000" sy="1000" algn="ctr" rotWithShape="0">
            <a:srgbClr val="000000"/>
          </a:outerShdw>
          <a:reflection stA="45000" endPos="0" dist="50800" dir="5400000" sy="-100000" algn="bl" rotWithShape="0"/>
        </a:effectLst>
      </xdr:spPr>
    </xdr:pic>
    <xdr:clientData/>
  </xdr:twoCellAnchor>
  <xdr:twoCellAnchor>
    <xdr:from>
      <xdr:col>0</xdr:col>
      <xdr:colOff>410308</xdr:colOff>
      <xdr:row>4</xdr:row>
      <xdr:rowOff>29308</xdr:rowOff>
    </xdr:from>
    <xdr:to>
      <xdr:col>2</xdr:col>
      <xdr:colOff>0</xdr:colOff>
      <xdr:row>4</xdr:row>
      <xdr:rowOff>439616</xdr:rowOff>
    </xdr:to>
    <xdr:sp macro="[0]!INIC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10308" y="468923"/>
          <a:ext cx="769327" cy="41030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200" b="1">
              <a:latin typeface="Arial" panose="020B0604020202020204" pitchFamily="34" charset="0"/>
              <a:cs typeface="Arial" panose="020B0604020202020204" pitchFamily="34" charset="0"/>
            </a:rPr>
            <a:t>DORSAL</a:t>
          </a:r>
        </a:p>
      </xdr:txBody>
    </xdr:sp>
    <xdr:clientData/>
  </xdr:twoCellAnchor>
  <xdr:twoCellAnchor>
    <xdr:from>
      <xdr:col>2</xdr:col>
      <xdr:colOff>1954695</xdr:colOff>
      <xdr:row>1</xdr:row>
      <xdr:rowOff>16565</xdr:rowOff>
    </xdr:from>
    <xdr:to>
      <xdr:col>3</xdr:col>
      <xdr:colOff>447258</xdr:colOff>
      <xdr:row>2</xdr:row>
      <xdr:rowOff>41413</xdr:rowOff>
    </xdr:to>
    <xdr:sp macro="[0]!ORDEN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3139108" y="74543"/>
          <a:ext cx="1184411" cy="670892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800" b="1">
              <a:solidFill>
                <a:schemeClr val="bg1"/>
              </a:solidFill>
            </a:rPr>
            <a:t>ORDEN GENERAL</a:t>
          </a:r>
        </a:p>
      </xdr:txBody>
    </xdr:sp>
    <xdr:clientData/>
  </xdr:twoCellAnchor>
  <xdr:twoCellAnchor>
    <xdr:from>
      <xdr:col>2</xdr:col>
      <xdr:colOff>1962978</xdr:colOff>
      <xdr:row>2</xdr:row>
      <xdr:rowOff>91108</xdr:rowOff>
    </xdr:from>
    <xdr:to>
      <xdr:col>3</xdr:col>
      <xdr:colOff>463825</xdr:colOff>
      <xdr:row>2</xdr:row>
      <xdr:rowOff>604631</xdr:rowOff>
    </xdr:to>
    <xdr:sp macro="[0]!FiltrarCategoria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3147391" y="795130"/>
          <a:ext cx="1192695" cy="513523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Categoria</a:t>
          </a:r>
        </a:p>
      </xdr:txBody>
    </xdr:sp>
    <xdr:clientData/>
  </xdr:twoCellAnchor>
  <xdr:twoCellAnchor>
    <xdr:from>
      <xdr:col>4</xdr:col>
      <xdr:colOff>82826</xdr:colOff>
      <xdr:row>2</xdr:row>
      <xdr:rowOff>82826</xdr:rowOff>
    </xdr:from>
    <xdr:to>
      <xdr:col>4</xdr:col>
      <xdr:colOff>447260</xdr:colOff>
      <xdr:row>2</xdr:row>
      <xdr:rowOff>579782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5209761" y="786848"/>
          <a:ext cx="364434" cy="496956"/>
        </a:xfrm>
        <a:prstGeom prst="roundRect">
          <a:avLst/>
        </a:prstGeom>
        <a:noFill/>
        <a:ln w="38100">
          <a:solidFill>
            <a:srgbClr val="0070C0"/>
          </a:solidFill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s-E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4</xdr:col>
      <xdr:colOff>508763</xdr:colOff>
      <xdr:row>0</xdr:row>
      <xdr:rowOff>48872</xdr:rowOff>
    </xdr:from>
    <xdr:to>
      <xdr:col>7</xdr:col>
      <xdr:colOff>130969</xdr:colOff>
      <xdr:row>2</xdr:row>
      <xdr:rowOff>610073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3576" y="48872"/>
          <a:ext cx="1039049" cy="1269623"/>
        </a:xfrm>
        <a:prstGeom prst="rect">
          <a:avLst/>
        </a:prstGeom>
      </xdr:spPr>
    </xdr:pic>
    <xdr:clientData/>
  </xdr:twoCellAnchor>
  <xdr:oneCellAnchor>
    <xdr:from>
      <xdr:col>0</xdr:col>
      <xdr:colOff>21981</xdr:colOff>
      <xdr:row>0</xdr:row>
      <xdr:rowOff>21981</xdr:rowOff>
    </xdr:from>
    <xdr:ext cx="3071644" cy="1343351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21981"/>
          <a:ext cx="3071644" cy="134335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9526</xdr:colOff>
      <xdr:row>1</xdr:row>
      <xdr:rowOff>9526</xdr:rowOff>
    </xdr:from>
    <xdr:to>
      <xdr:col>5</xdr:col>
      <xdr:colOff>409576</xdr:colOff>
      <xdr:row>2</xdr:row>
      <xdr:rowOff>9525</xdr:rowOff>
    </xdr:to>
    <xdr:sp macro="Categoria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4562476" y="66676"/>
          <a:ext cx="400050" cy="647699"/>
        </a:xfrm>
        <a:prstGeom prst="roundRect">
          <a:avLst/>
        </a:prstGeom>
        <a:solidFill>
          <a:schemeClr val="accent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400" b="1">
              <a:solidFill>
                <a:schemeClr val="bg1"/>
              </a:solidFill>
            </a:rPr>
            <a:t> Cat.     FO</a:t>
          </a:r>
        </a:p>
      </xdr:txBody>
    </xdr:sp>
    <xdr:clientData/>
  </xdr:twoCellAnchor>
  <xdr:twoCellAnchor>
    <xdr:from>
      <xdr:col>6</xdr:col>
      <xdr:colOff>28575</xdr:colOff>
      <xdr:row>1</xdr:row>
      <xdr:rowOff>9524</xdr:rowOff>
    </xdr:from>
    <xdr:to>
      <xdr:col>6</xdr:col>
      <xdr:colOff>428625</xdr:colOff>
      <xdr:row>2</xdr:row>
      <xdr:rowOff>9525</xdr:rowOff>
    </xdr:to>
    <xdr:sp macro="[0]!FiltroCatFU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5019675" y="66674"/>
          <a:ext cx="400050" cy="647701"/>
        </a:xfrm>
        <a:prstGeom prst="roundRect">
          <a:avLst/>
        </a:prstGeom>
        <a:ln>
          <a:noFill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>
          <a:scene3d>
            <a:camera prst="orthographicFront"/>
            <a:lightRig rig="threePt" dir="t"/>
          </a:scene3d>
          <a:sp3d prstMaterial="matte"/>
        </a:bodyPr>
        <a:lstStyle/>
        <a:p>
          <a:pPr algn="ctr"/>
          <a:r>
            <a:rPr lang="es-ES" sz="1400" b="1">
              <a:solidFill>
                <a:schemeClr val="bg1"/>
              </a:solidFill>
              <a:latin typeface="+mn-lt"/>
            </a:rPr>
            <a:t>Cat.      FU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689D2-0476-49E4-AE5E-45B7A303F8BF}" name="Tabla2" displayName="Tabla2" ref="C3:Q63" totalsRowShown="0" headerRowDxfId="49" dataDxfId="47" headerRowBorderDxfId="48" tableBorderDxfId="46">
  <tableColumns count="15">
    <tableColumn id="1" xr3:uid="{7AFD204F-3471-431F-8562-C9431675E83D}" name="DORSAL" dataDxfId="45"/>
    <tableColumn id="2" xr3:uid="{B1051F44-D77A-4C46-BD38-B3A6E03DE317}" name="DNI" dataDxfId="44"/>
    <tableColumn id="3" xr3:uid="{25E6101B-640A-47B0-B9D6-FB0C1528A40C}" name="NOMBRE Y APELLIDOS" dataDxfId="43">
      <calculatedColumnFormula>IFERROR(VLOOKUP(D4,BTiradores!$B$2:$H$327,2,FALSE),"")</calculatedColumnFormula>
    </tableColumn>
    <tableColumn id="4" xr3:uid="{7758871C-4761-422F-9956-1CCE0A2AB82A}" name="LICENCIA" dataDxfId="42">
      <calculatedColumnFormula>IFERROR(VLOOKUP(D4,BTiradores!$B$2:$H$327,3,FALSE),"")</calculatedColumnFormula>
    </tableColumn>
    <tableColumn id="5" xr3:uid="{797F2A49-E1CD-4E78-A4FD-07B64A74B594}" name="PROV" dataDxfId="41">
      <calculatedColumnFormula>IFERROR(VLOOKUP(D4,BTiradores!$B$2:$H$327,4,FALSE),"")</calculatedColumnFormula>
    </tableColumn>
    <tableColumn id="6" xr3:uid="{C7E7583D-0382-4F23-9409-AD46F47DC048}" name="CAT. FO" dataDxfId="40">
      <calculatedColumnFormula>IFERROR(VLOOKUP(D4,BTiradores!$B$2:$H$327,5,FALSE),"")</calculatedColumnFormula>
    </tableColumn>
    <tableColumn id="7" xr3:uid="{03863A64-0078-4E8D-A6C3-EFF140EFEFFD}" name="CAT. FU" dataDxfId="39">
      <calculatedColumnFormula>IFERROR(VLOOKUP(D4,BTiradores!$B$2:$H$327,6,FALSE),"")</calculatedColumnFormula>
    </tableColumn>
    <tableColumn id="8" xr3:uid="{8D2DC034-31E0-4CFB-B4B6-77354829A9F0}" name="SUBC" dataDxfId="38">
      <calculatedColumnFormula>IFERROR(VLOOKUP(D4,BTiradores!$B$2:$H$327,7,FALSE),"")</calculatedColumnFormula>
    </tableColumn>
    <tableColumn id="9" xr3:uid="{7C0489B4-ACAB-4E87-BC76-F37473B35EF4}" name="S-1" dataDxfId="37"/>
    <tableColumn id="10" xr3:uid="{8602C9E8-0C65-48A9-AE0D-E99DFEC224F2}" name="S-2" dataDxfId="36"/>
    <tableColumn id="11" xr3:uid="{A2189B2B-76A0-4749-BD7A-7A60C72DF017}" name="S-3" dataDxfId="35"/>
    <tableColumn id="12" xr3:uid="{78712993-9423-4A16-AAB4-209A240B3DD9}" name="S-4" dataDxfId="34"/>
    <tableColumn id="13" xr3:uid="{E9184654-7369-4019-914E-5B5AC2D37DD6}" name="TOTAL" dataDxfId="33">
      <calculatedColumnFormula>SUM(K4:N4)</calculatedColumnFormula>
    </tableColumn>
    <tableColumn id="14" xr3:uid="{F1AD4E2B-2092-4A84-B711-7EA9FD68D4E7}" name="SHOOT OFF" dataDxfId="32"/>
    <tableColumn id="15" xr3:uid="{2FD60BBC-07DB-4CEE-BB99-604979C5BD85}" name="FINAL" dataDxfId="31">
      <calculatedColumnFormula>SUM(O4:P4)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CD34D53-0E25-4E9C-B6F8-A2576873C664}" name="TClasificacion" displayName="TClasificacion" ref="B5:M53" headerRowDxfId="82" dataDxfId="81" totalsRowDxfId="80">
  <sortState xmlns:xlrd2="http://schemas.microsoft.com/office/spreadsheetml/2017/richdata2" ref="B6:M53">
    <sortCondition descending="1" ref="M5:M53"/>
    <sortCondition descending="1" ref="K5:K53"/>
    <sortCondition descending="1" ref="J5:J53"/>
    <sortCondition descending="1" ref="I5:I53"/>
    <sortCondition descending="1" ref="H5:H53"/>
    <sortCondition descending="1" ref="G5:G53"/>
  </sortState>
  <tableColumns count="12">
    <tableColumn id="1" xr3:uid="{7B25D17C-22A3-4DCE-B3F3-78401E330506}" name="DORSAL" totalsRowLabel="Total" dataDxfId="79" totalsRowDxfId="78">
      <calculatedColumnFormula>INSCRIPCIONES!C4</calculatedColumnFormula>
    </tableColumn>
    <tableColumn id="2" xr3:uid="{E42689B3-F859-49E3-BA0C-92DB79CCB0B2}" name="NOMBRE Y APELLIDOS" dataDxfId="77" totalsRowDxfId="76">
      <calculatedColumnFormula>INSCRIPCIONES!E4</calculatedColumnFormula>
    </tableColumn>
    <tableColumn id="3" xr3:uid="{4F2E567F-8BDB-4DCC-A182-04DAF52CEB45}" name="PROV" dataDxfId="75" totalsRowDxfId="74">
      <calculatedColumnFormula>INSCRIPCIONES!G4</calculatedColumnFormula>
    </tableColumn>
    <tableColumn id="5" xr3:uid="{1BA3E50D-37B7-4FDD-8135-2B57CD58B728}" name="CAT. FU" dataDxfId="73" totalsRowDxfId="72">
      <calculatedColumnFormula>INSCRIPCIONES!I4</calculatedColumnFormula>
    </tableColumn>
    <tableColumn id="6" xr3:uid="{729EF3AA-0B7B-4F21-A372-E38DCA0E9DD6}" name="SUBC" dataDxfId="71" totalsRowDxfId="70">
      <calculatedColumnFormula>INSCRIPCIONES!J4</calculatedColumnFormula>
    </tableColumn>
    <tableColumn id="7" xr3:uid="{AF62DD23-9284-4187-83F4-77206D33B9B9}" name="S-1" dataDxfId="69" totalsRowDxfId="68">
      <calculatedColumnFormula>INSCRIPCIONES!K4</calculatedColumnFormula>
    </tableColumn>
    <tableColumn id="8" xr3:uid="{8AD3E852-9172-4F93-A6C9-91D03D9AB631}" name="S-2" dataDxfId="67" totalsRowDxfId="66">
      <calculatedColumnFormula>INSCRIPCIONES!L4</calculatedColumnFormula>
    </tableColumn>
    <tableColumn id="9" xr3:uid="{EEC05464-BB34-4D2D-8E98-1702837126F6}" name="S-3" dataDxfId="65" totalsRowDxfId="64">
      <calculatedColumnFormula>INSCRIPCIONES!M4</calculatedColumnFormula>
    </tableColumn>
    <tableColumn id="10" xr3:uid="{7A232E3A-321D-4B41-8487-AFA54D961353}" name="S-4" dataDxfId="63" totalsRowDxfId="62">
      <calculatedColumnFormula>INSCRIPCIONES!#REF!</calculatedColumnFormula>
    </tableColumn>
    <tableColumn id="11" xr3:uid="{9F1F3B50-C662-41F1-A16B-87D18EFEA376}" name="TOTAL" dataDxfId="61" totalsRowDxfId="60">
      <calculatedColumnFormula>INSCRIPCIONES!O4</calculatedColumnFormula>
    </tableColumn>
    <tableColumn id="12" xr3:uid="{6AABD5B3-FE45-4BA3-9D5E-803742480B24}" name="SHOOT OFF" dataDxfId="59" totalsRowDxfId="58">
      <calculatedColumnFormula>INSCRIPCIONES!P4</calculatedColumnFormula>
    </tableColumn>
    <tableColumn id="13" xr3:uid="{E12DAF72-F022-4472-8D30-D160784B4F89}" name="FINAL" totalsRowFunction="sum" dataDxfId="57" totalsRowDxfId="56">
      <calculatedColumnFormula>SUM(TClasificacion[[#This Row],[TOTAL]:[SHOOT OFF]])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D6C86E-13BA-4359-8DE3-1A83AFDCC747}" name="TCategorias" displayName="TCategorias" ref="C5:O56" headerRowDxfId="28" dataDxfId="27" totalsRowDxfId="26">
  <sortState xmlns:xlrd2="http://schemas.microsoft.com/office/spreadsheetml/2017/richdata2" ref="C6:O131">
    <sortCondition descending="1" ref="O6:O131"/>
    <sortCondition descending="1" ref="M6:M131"/>
    <sortCondition descending="1" ref="L6:L131"/>
    <sortCondition descending="1" ref="K6:K131"/>
    <sortCondition descending="1" ref="J6:J131"/>
    <sortCondition descending="1" ref="I6:I131"/>
  </sortState>
  <tableColumns count="13">
    <tableColumn id="1" xr3:uid="{D0399CE5-AC3E-4A92-ABCB-6CD1A6AA89E3}" name="DORSAL" totalsRowLabel="Total" dataDxfId="25" totalsRowDxfId="24">
      <calculatedColumnFormula>INSCRIPCIONES!C4</calculatedColumnFormula>
    </tableColumn>
    <tableColumn id="2" xr3:uid="{02EE7032-D873-4B49-820D-B0FA5DD3208D}" name="NOMBRE Y APELLIDOS" dataDxfId="23" totalsRowDxfId="22">
      <calculatedColumnFormula>INSCRIPCIONES!E4</calculatedColumnFormula>
    </tableColumn>
    <tableColumn id="3" xr3:uid="{29AB7F65-3359-4C9E-AC2C-0A3C1D389D19}" name="PROV" dataDxfId="21" totalsRowDxfId="20">
      <calculatedColumnFormula>INSCRIPCIONES!G4</calculatedColumnFormula>
    </tableColumn>
    <tableColumn id="4" xr3:uid="{BE3688DE-48BD-4FAB-A680-11BBE4FFAA3F}" name="CAT. FO" dataDxfId="19" totalsRowDxfId="18">
      <calculatedColumnFormula>INSCRIPCIONES!H4</calculatedColumnFormula>
    </tableColumn>
    <tableColumn id="5" xr3:uid="{20B4A671-4201-40C0-9642-26486FF6A40F}" name="CAT. FU" dataDxfId="17" totalsRowDxfId="16">
      <calculatedColumnFormula>INSCRIPCIONES!I4</calculatedColumnFormula>
    </tableColumn>
    <tableColumn id="6" xr3:uid="{CEBD5F52-AA96-4AF4-B671-E02B9F367AA6}" name="SUBC" dataDxfId="15" totalsRowDxfId="14">
      <calculatedColumnFormula>INSCRIPCIONES!J4</calculatedColumnFormula>
    </tableColumn>
    <tableColumn id="7" xr3:uid="{1E6549B3-EFEE-4665-A662-EFFC26CB8A45}" name="S-1" dataDxfId="13" totalsRowDxfId="12">
      <calculatedColumnFormula>INSCRIPCIONES!K4</calculatedColumnFormula>
    </tableColumn>
    <tableColumn id="8" xr3:uid="{A26EB624-E2D4-4F17-9AF5-68703349CA6A}" name="S-2" dataDxfId="11" totalsRowDxfId="10">
      <calculatedColumnFormula>INSCRIPCIONES!L4</calculatedColumnFormula>
    </tableColumn>
    <tableColumn id="9" xr3:uid="{B5C71F45-DCA8-4CE9-A618-51ACD54FC236}" name="S-3" dataDxfId="9" totalsRowDxfId="8">
      <calculatedColumnFormula>INSCRIPCIONES!M4</calculatedColumnFormula>
    </tableColumn>
    <tableColumn id="10" xr3:uid="{00D37C5E-D4E0-413B-AF5A-9B2268A380D5}" name="S-4" dataDxfId="7" totalsRowDxfId="6">
      <calculatedColumnFormula>INSCRIPCIONES!#REF!</calculatedColumnFormula>
    </tableColumn>
    <tableColumn id="11" xr3:uid="{A810E9A5-5F9A-4C78-B087-4EA496946F4E}" name="TOTAL" dataDxfId="5" totalsRowDxfId="4">
      <calculatedColumnFormula>INSCRIPCIONES!O4</calculatedColumnFormula>
    </tableColumn>
    <tableColumn id="12" xr3:uid="{1CEE40BE-7E52-48BD-8633-336BDA8F0751}" name="SHOOT OFF" dataDxfId="3" totalsRowDxfId="2">
      <calculatedColumnFormula>INSCRIPCIONES!P4</calculatedColumnFormula>
    </tableColumn>
    <tableColumn id="13" xr3:uid="{56B109D1-576E-4A82-AD9C-852EFBCB5CB4}" name="FINAL" totalsRowFunction="sum" dataDxfId="1" totalsRowDxfId="0">
      <calculatedColumnFormula>SUM(TCategorias[[#This Row],[TOTAL]:[SHOOT OFF]])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73D324C-809A-4EF5-9619-BD341249F0AF}">
  <we:reference id="wa200000142" version="1.0.0.0" store="es-ES" storeType="OMEX"/>
  <we:alternateReferences>
    <we:reference id="WA200000142" version="1.0.0.0" store="WA200000142" storeType="OMEX"/>
  </we:alternateReferences>
  <we:properties>
    <we:property name="worksheetIds" value="&quot;{\&quot;{00000000-0001-0000-0100-000000000000}\&quot;:\&quot;cb7534e6-b8a9-4f7b-ac57-a92f4a687694\&quot;,\&quot;{00000000-0001-0000-0200-000000000000}\&quot;:\&quot;6ad62880-c493-4cc5-8456-f037f063c0bf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2778A703-EAB7-42F8-88DF-1FC4DEC7D5A3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vT1UYwn4dBoriwTstnYDv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I53"/>
  <sheetViews>
    <sheetView topLeftCell="A10" zoomScaleSheetLayoutView="105" workbookViewId="0">
      <selection activeCell="C45" sqref="C45"/>
    </sheetView>
  </sheetViews>
  <sheetFormatPr baseColWidth="10" defaultColWidth="11.42578125" defaultRowHeight="12.75" x14ac:dyDescent="0.2"/>
  <cols>
    <col min="3" max="3" width="17.5703125" bestFit="1" customWidth="1"/>
    <col min="4" max="4" width="1.5703125" customWidth="1"/>
    <col min="9" max="9" width="11.42578125" style="1"/>
  </cols>
  <sheetData>
    <row r="1" spans="2:7" ht="13.5" thickBot="1" x14ac:dyDescent="0.25"/>
    <row r="2" spans="2:7" x14ac:dyDescent="0.2">
      <c r="B2" s="25" t="s">
        <v>0</v>
      </c>
      <c r="C2" s="26" t="s">
        <v>1</v>
      </c>
      <c r="E2" s="22" t="s">
        <v>2</v>
      </c>
      <c r="F2" s="23" t="s">
        <v>3</v>
      </c>
      <c r="G2" s="24" t="s">
        <v>4</v>
      </c>
    </row>
    <row r="3" spans="2:7" x14ac:dyDescent="0.2">
      <c r="B3" s="27" t="s">
        <v>78</v>
      </c>
      <c r="C3" s="28" t="s">
        <v>79</v>
      </c>
      <c r="E3" s="18">
        <v>1</v>
      </c>
      <c r="F3" s="19">
        <v>1</v>
      </c>
      <c r="G3" s="16" t="s">
        <v>7</v>
      </c>
    </row>
    <row r="4" spans="2:7" x14ac:dyDescent="0.2">
      <c r="B4" s="27" t="s">
        <v>44</v>
      </c>
      <c r="C4" s="28" t="s">
        <v>45</v>
      </c>
      <c r="E4" s="18">
        <v>2</v>
      </c>
      <c r="F4" s="19">
        <v>2</v>
      </c>
      <c r="G4" s="16" t="s">
        <v>10</v>
      </c>
    </row>
    <row r="5" spans="2:7" x14ac:dyDescent="0.2">
      <c r="B5" s="27" t="s">
        <v>5</v>
      </c>
      <c r="C5" s="28" t="s">
        <v>6</v>
      </c>
      <c r="E5" s="18">
        <v>3</v>
      </c>
      <c r="F5" s="19">
        <v>3</v>
      </c>
      <c r="G5" s="16" t="s">
        <v>13</v>
      </c>
    </row>
    <row r="6" spans="2:7" ht="13.5" thickBot="1" x14ac:dyDescent="0.25">
      <c r="B6" s="27" t="s">
        <v>80</v>
      </c>
      <c r="C6" s="28" t="s">
        <v>81</v>
      </c>
      <c r="E6" s="20">
        <v>4</v>
      </c>
      <c r="F6" s="21">
        <v>4</v>
      </c>
      <c r="G6" s="17" t="s">
        <v>16</v>
      </c>
    </row>
    <row r="7" spans="2:7" ht="13.5" thickBot="1" x14ac:dyDescent="0.25">
      <c r="B7" s="27" t="s">
        <v>82</v>
      </c>
      <c r="C7" s="28" t="s">
        <v>83</v>
      </c>
      <c r="F7" s="21" t="s">
        <v>19</v>
      </c>
    </row>
    <row r="8" spans="2:7" x14ac:dyDescent="0.2">
      <c r="B8" s="27" t="s">
        <v>8</v>
      </c>
      <c r="C8" s="28" t="s">
        <v>9</v>
      </c>
    </row>
    <row r="9" spans="2:7" x14ac:dyDescent="0.2">
      <c r="B9" s="27" t="s">
        <v>76</v>
      </c>
      <c r="C9" s="28" t="s">
        <v>77</v>
      </c>
    </row>
    <row r="10" spans="2:7" x14ac:dyDescent="0.2">
      <c r="B10" s="27" t="s">
        <v>11</v>
      </c>
      <c r="C10" s="28" t="s">
        <v>12</v>
      </c>
    </row>
    <row r="11" spans="2:7" x14ac:dyDescent="0.2">
      <c r="B11" s="27" t="s">
        <v>88</v>
      </c>
      <c r="C11" s="28" t="s">
        <v>89</v>
      </c>
    </row>
    <row r="12" spans="2:7" x14ac:dyDescent="0.2">
      <c r="B12" s="27" t="s">
        <v>84</v>
      </c>
      <c r="C12" s="28" t="s">
        <v>85</v>
      </c>
    </row>
    <row r="13" spans="2:7" x14ac:dyDescent="0.2">
      <c r="B13" s="27" t="s">
        <v>50</v>
      </c>
      <c r="C13" s="28" t="s">
        <v>51</v>
      </c>
    </row>
    <row r="14" spans="2:7" x14ac:dyDescent="0.2">
      <c r="B14" s="27" t="s">
        <v>86</v>
      </c>
      <c r="C14" s="28" t="s">
        <v>87</v>
      </c>
    </row>
    <row r="15" spans="2:7" x14ac:dyDescent="0.2">
      <c r="B15" s="27" t="s">
        <v>54</v>
      </c>
      <c r="C15" s="28" t="s">
        <v>55</v>
      </c>
    </row>
    <row r="16" spans="2:7" x14ac:dyDescent="0.2">
      <c r="B16" s="27" t="s">
        <v>17</v>
      </c>
      <c r="C16" s="28" t="s">
        <v>18</v>
      </c>
    </row>
    <row r="17" spans="2:7" x14ac:dyDescent="0.2">
      <c r="B17" s="27" t="s">
        <v>52</v>
      </c>
      <c r="C17" s="28" t="s">
        <v>53</v>
      </c>
    </row>
    <row r="18" spans="2:7" x14ac:dyDescent="0.2">
      <c r="B18" s="27" t="s">
        <v>20</v>
      </c>
      <c r="C18" s="28" t="s">
        <v>21</v>
      </c>
    </row>
    <row r="19" spans="2:7" x14ac:dyDescent="0.2">
      <c r="B19" s="27" t="s">
        <v>32</v>
      </c>
      <c r="C19" s="28" t="s">
        <v>33</v>
      </c>
      <c r="D19" s="37"/>
      <c r="E19" s="36"/>
      <c r="F19" s="37"/>
      <c r="G19" s="36"/>
    </row>
    <row r="20" spans="2:7" x14ac:dyDescent="0.2">
      <c r="B20" s="27" t="s">
        <v>56</v>
      </c>
      <c r="C20" s="28" t="s">
        <v>57</v>
      </c>
    </row>
    <row r="21" spans="2:7" x14ac:dyDescent="0.2">
      <c r="B21" s="27" t="s">
        <v>90</v>
      </c>
      <c r="C21" s="28" t="s">
        <v>91</v>
      </c>
    </row>
    <row r="22" spans="2:7" x14ac:dyDescent="0.2">
      <c r="B22" s="27" t="s">
        <v>22</v>
      </c>
      <c r="C22" s="28" t="s">
        <v>23</v>
      </c>
    </row>
    <row r="23" spans="2:7" x14ac:dyDescent="0.2">
      <c r="B23" s="27" t="s">
        <v>92</v>
      </c>
      <c r="C23" s="28" t="s">
        <v>93</v>
      </c>
    </row>
    <row r="24" spans="2:7" x14ac:dyDescent="0.2">
      <c r="B24" s="27" t="s">
        <v>24</v>
      </c>
      <c r="C24" s="28" t="s">
        <v>25</v>
      </c>
    </row>
    <row r="25" spans="2:7" x14ac:dyDescent="0.2">
      <c r="B25" s="27" t="s">
        <v>48</v>
      </c>
      <c r="C25" s="28" t="s">
        <v>49</v>
      </c>
    </row>
    <row r="26" spans="2:7" x14ac:dyDescent="0.2">
      <c r="B26" s="27" t="s">
        <v>60</v>
      </c>
      <c r="C26" s="28" t="s">
        <v>61</v>
      </c>
    </row>
    <row r="27" spans="2:7" x14ac:dyDescent="0.2">
      <c r="B27" s="27" t="s">
        <v>26</v>
      </c>
      <c r="C27" s="28" t="s">
        <v>27</v>
      </c>
    </row>
    <row r="28" spans="2:7" x14ac:dyDescent="0.2">
      <c r="B28" s="27" t="s">
        <v>94</v>
      </c>
      <c r="C28" s="28" t="s">
        <v>95</v>
      </c>
    </row>
    <row r="29" spans="2:7" x14ac:dyDescent="0.2">
      <c r="B29" s="27" t="s">
        <v>102</v>
      </c>
      <c r="C29" s="28" t="s">
        <v>103</v>
      </c>
    </row>
    <row r="30" spans="2:7" x14ac:dyDescent="0.2">
      <c r="B30" s="27" t="s">
        <v>62</v>
      </c>
      <c r="C30" s="28" t="s">
        <v>63</v>
      </c>
    </row>
    <row r="31" spans="2:7" x14ac:dyDescent="0.2">
      <c r="B31" s="27" t="s">
        <v>96</v>
      </c>
      <c r="C31" s="28" t="s">
        <v>97</v>
      </c>
    </row>
    <row r="32" spans="2:7" x14ac:dyDescent="0.2">
      <c r="B32" s="27" t="s">
        <v>28</v>
      </c>
      <c r="C32" s="28" t="s">
        <v>29</v>
      </c>
    </row>
    <row r="33" spans="2:3" x14ac:dyDescent="0.2">
      <c r="B33" s="27" t="s">
        <v>64</v>
      </c>
      <c r="C33" s="28" t="s">
        <v>65</v>
      </c>
    </row>
    <row r="34" spans="2:3" x14ac:dyDescent="0.2">
      <c r="B34" s="27" t="s">
        <v>98</v>
      </c>
      <c r="C34" s="28" t="s">
        <v>99</v>
      </c>
    </row>
    <row r="35" spans="2:3" x14ac:dyDescent="0.2">
      <c r="B35" s="27" t="s">
        <v>30</v>
      </c>
      <c r="C35" s="28" t="s">
        <v>31</v>
      </c>
    </row>
    <row r="36" spans="2:3" x14ac:dyDescent="0.2">
      <c r="B36" s="27" t="s">
        <v>46</v>
      </c>
      <c r="C36" s="28" t="s">
        <v>47</v>
      </c>
    </row>
    <row r="37" spans="2:3" x14ac:dyDescent="0.2">
      <c r="B37" s="27" t="s">
        <v>66</v>
      </c>
      <c r="C37" s="28" t="s">
        <v>67</v>
      </c>
    </row>
    <row r="38" spans="2:3" x14ac:dyDescent="0.2">
      <c r="B38" s="27" t="s">
        <v>100</v>
      </c>
      <c r="C38" s="28" t="s">
        <v>101</v>
      </c>
    </row>
    <row r="39" spans="2:3" x14ac:dyDescent="0.2">
      <c r="B39" s="27" t="s">
        <v>68</v>
      </c>
      <c r="C39" s="28" t="s">
        <v>69</v>
      </c>
    </row>
    <row r="40" spans="2:3" x14ac:dyDescent="0.2">
      <c r="B40" s="27" t="s">
        <v>14</v>
      </c>
      <c r="C40" s="28" t="s">
        <v>15</v>
      </c>
    </row>
    <row r="41" spans="2:3" x14ac:dyDescent="0.2">
      <c r="B41" s="27" t="s">
        <v>34</v>
      </c>
      <c r="C41" s="28" t="s">
        <v>35</v>
      </c>
    </row>
    <row r="42" spans="2:3" x14ac:dyDescent="0.2">
      <c r="B42" s="27" t="s">
        <v>104</v>
      </c>
      <c r="C42" s="28" t="s">
        <v>105</v>
      </c>
    </row>
    <row r="43" spans="2:3" x14ac:dyDescent="0.2">
      <c r="B43" s="27" t="s">
        <v>70</v>
      </c>
      <c r="C43" s="28" t="s">
        <v>71</v>
      </c>
    </row>
    <row r="44" spans="2:3" x14ac:dyDescent="0.2">
      <c r="B44" s="27" t="s">
        <v>36</v>
      </c>
      <c r="C44" s="28" t="s">
        <v>37</v>
      </c>
    </row>
    <row r="45" spans="2:3" x14ac:dyDescent="0.2">
      <c r="B45" s="27" t="s">
        <v>58</v>
      </c>
      <c r="C45" s="28" t="s">
        <v>59</v>
      </c>
    </row>
    <row r="46" spans="2:3" x14ac:dyDescent="0.2">
      <c r="B46" s="27" t="s">
        <v>72</v>
      </c>
      <c r="C46" s="28" t="s">
        <v>73</v>
      </c>
    </row>
    <row r="47" spans="2:3" x14ac:dyDescent="0.2">
      <c r="B47" s="27" t="s">
        <v>38</v>
      </c>
      <c r="C47" s="28" t="s">
        <v>39</v>
      </c>
    </row>
    <row r="48" spans="2:3" x14ac:dyDescent="0.2">
      <c r="B48" s="27" t="s">
        <v>106</v>
      </c>
      <c r="C48" s="28" t="s">
        <v>107</v>
      </c>
    </row>
    <row r="49" spans="2:3" x14ac:dyDescent="0.2">
      <c r="B49" s="27" t="s">
        <v>74</v>
      </c>
      <c r="C49" s="28" t="s">
        <v>75</v>
      </c>
    </row>
    <row r="50" spans="2:3" x14ac:dyDescent="0.2">
      <c r="B50" s="27" t="s">
        <v>108</v>
      </c>
      <c r="C50" s="28" t="s">
        <v>109</v>
      </c>
    </row>
    <row r="51" spans="2:3" x14ac:dyDescent="0.2">
      <c r="B51" s="27" t="s">
        <v>40</v>
      </c>
      <c r="C51" s="28" t="s">
        <v>41</v>
      </c>
    </row>
    <row r="52" spans="2:3" x14ac:dyDescent="0.2">
      <c r="B52" s="27" t="s">
        <v>42</v>
      </c>
      <c r="C52" s="28" t="s">
        <v>43</v>
      </c>
    </row>
    <row r="53" spans="2:3" ht="13.5" thickBot="1" x14ac:dyDescent="0.25">
      <c r="B53" s="29" t="s">
        <v>110</v>
      </c>
      <c r="C53" s="30" t="s">
        <v>111</v>
      </c>
    </row>
  </sheetData>
  <sheetProtection selectLockedCells="1" selectUnlockedCells="1"/>
  <sortState xmlns:xlrd2="http://schemas.microsoft.com/office/spreadsheetml/2017/richdata2" ref="B3:C53">
    <sortCondition ref="B2:B53"/>
  </sortState>
  <phoneticPr fontId="4" type="noConversion"/>
  <pageMargins left="0.75" right="0.75" top="1" bottom="1" header="0.51180555555555551" footer="0.51180555555555551"/>
  <pageSetup paperSize="9" scale="5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T301"/>
  <sheetViews>
    <sheetView showGridLines="0" topLeftCell="A4" zoomScale="115" zoomScaleNormal="115" zoomScaleSheetLayoutView="100" workbookViewId="0">
      <selection activeCell="L36" sqref="L36"/>
    </sheetView>
  </sheetViews>
  <sheetFormatPr baseColWidth="10" defaultColWidth="11.42578125" defaultRowHeight="12.75" x14ac:dyDescent="0.2"/>
  <cols>
    <col min="1" max="1" width="5.42578125" style="1" customWidth="1"/>
    <col min="2" max="2" width="10.85546875" style="123" bestFit="1" customWidth="1"/>
    <col min="3" max="3" width="31.7109375" style="33" bestFit="1" customWidth="1"/>
    <col min="4" max="4" width="11.7109375" style="1" bestFit="1" customWidth="1"/>
    <col min="5" max="5" width="9" style="4" bestFit="1" customWidth="1"/>
    <col min="6" max="6" width="10.5703125" style="1" bestFit="1" customWidth="1"/>
    <col min="7" max="7" width="10.42578125" style="1" bestFit="1" customWidth="1"/>
    <col min="8" max="8" width="6.140625" style="1" customWidth="1"/>
    <col min="9" max="9" width="0.7109375" style="32" customWidth="1"/>
    <col min="10" max="10" width="3.5703125" customWidth="1"/>
    <col min="11" max="11" width="12.5703125" customWidth="1"/>
    <col min="12" max="12" width="30.140625" customWidth="1"/>
    <col min="13" max="13" width="10" customWidth="1"/>
    <col min="14" max="14" width="17.5703125" bestFit="1" customWidth="1"/>
    <col min="15" max="15" width="7.85546875" customWidth="1"/>
    <col min="16" max="17" width="6.5703125" customWidth="1"/>
  </cols>
  <sheetData>
    <row r="1" spans="1:18" ht="13.5" customHeight="1" x14ac:dyDescent="0.2">
      <c r="A1" s="31"/>
      <c r="B1" s="125" t="s">
        <v>112</v>
      </c>
      <c r="C1" s="127" t="s">
        <v>113</v>
      </c>
      <c r="D1" s="126" t="s">
        <v>114</v>
      </c>
      <c r="E1" s="149" t="s">
        <v>115</v>
      </c>
      <c r="F1" s="126" t="s">
        <v>116</v>
      </c>
      <c r="G1" s="126" t="s">
        <v>117</v>
      </c>
      <c r="H1" s="126" t="s">
        <v>118</v>
      </c>
      <c r="J1" s="15"/>
      <c r="K1" s="15"/>
      <c r="L1" s="2"/>
      <c r="M1" s="2"/>
      <c r="N1" s="2"/>
      <c r="O1" s="2"/>
      <c r="P1" s="2"/>
      <c r="Q1" s="2"/>
    </row>
    <row r="2" spans="1:18" x14ac:dyDescent="0.2">
      <c r="B2" s="130" t="s">
        <v>672</v>
      </c>
      <c r="C2" s="34" t="s">
        <v>119</v>
      </c>
      <c r="D2" s="35" t="s">
        <v>119</v>
      </c>
      <c r="E2" s="35" t="s">
        <v>119</v>
      </c>
      <c r="F2" s="35" t="s">
        <v>119</v>
      </c>
      <c r="G2" s="35" t="s">
        <v>119</v>
      </c>
      <c r="H2" s="35" t="s">
        <v>119</v>
      </c>
      <c r="M2" s="37"/>
      <c r="N2" s="36"/>
      <c r="P2" s="37"/>
      <c r="Q2" s="38"/>
      <c r="R2" s="38"/>
    </row>
    <row r="3" spans="1:18" x14ac:dyDescent="0.2">
      <c r="B3" s="130" t="s">
        <v>765</v>
      </c>
      <c r="C3" s="34" t="s">
        <v>766</v>
      </c>
      <c r="D3" s="35" t="s">
        <v>767</v>
      </c>
      <c r="E3" s="35" t="s">
        <v>30</v>
      </c>
      <c r="F3" s="35">
        <v>3</v>
      </c>
      <c r="G3" s="35">
        <v>3</v>
      </c>
      <c r="H3" s="35" t="s">
        <v>13</v>
      </c>
      <c r="M3" s="37"/>
      <c r="N3" s="36"/>
      <c r="P3" s="37"/>
      <c r="Q3" s="38"/>
      <c r="R3" s="38"/>
    </row>
    <row r="4" spans="1:18" x14ac:dyDescent="0.2">
      <c r="B4" s="130" t="s">
        <v>762</v>
      </c>
      <c r="C4" s="34" t="s">
        <v>763</v>
      </c>
      <c r="D4" s="35" t="s">
        <v>764</v>
      </c>
      <c r="E4" s="35" t="s">
        <v>30</v>
      </c>
      <c r="F4" s="35">
        <v>1</v>
      </c>
      <c r="G4" s="35">
        <v>1</v>
      </c>
      <c r="H4" s="35" t="s">
        <v>13</v>
      </c>
      <c r="M4" s="37"/>
      <c r="N4" s="36"/>
      <c r="P4" s="37"/>
      <c r="Q4" s="38"/>
      <c r="R4" s="38"/>
    </row>
    <row r="5" spans="1:18" x14ac:dyDescent="0.2">
      <c r="B5" s="130" t="s">
        <v>759</v>
      </c>
      <c r="C5" s="34" t="s">
        <v>760</v>
      </c>
      <c r="D5" s="35">
        <v>2444</v>
      </c>
      <c r="E5" s="35" t="s">
        <v>36</v>
      </c>
      <c r="F5" s="35">
        <v>2</v>
      </c>
      <c r="G5" s="35">
        <v>2</v>
      </c>
      <c r="H5" s="35" t="s">
        <v>13</v>
      </c>
      <c r="M5" s="37"/>
      <c r="N5" s="36"/>
      <c r="P5" s="37"/>
      <c r="Q5" s="38"/>
      <c r="R5" s="38"/>
    </row>
    <row r="6" spans="1:18" x14ac:dyDescent="0.2">
      <c r="B6" s="130" t="s">
        <v>757</v>
      </c>
      <c r="C6" s="34" t="s">
        <v>758</v>
      </c>
      <c r="D6" s="35">
        <v>1229</v>
      </c>
      <c r="E6" s="35" t="s">
        <v>11</v>
      </c>
      <c r="F6" s="35">
        <v>3</v>
      </c>
      <c r="G6" s="35">
        <v>3</v>
      </c>
      <c r="H6" s="35" t="s">
        <v>13</v>
      </c>
      <c r="M6" s="37"/>
      <c r="N6" s="36"/>
      <c r="P6" s="37"/>
      <c r="Q6" s="38"/>
      <c r="R6" s="38"/>
    </row>
    <row r="7" spans="1:18" x14ac:dyDescent="0.2">
      <c r="B7" s="131" t="s">
        <v>505</v>
      </c>
      <c r="C7" s="33" t="s">
        <v>506</v>
      </c>
      <c r="E7" s="1" t="s">
        <v>11</v>
      </c>
      <c r="F7" s="1">
        <v>4</v>
      </c>
      <c r="G7" s="1">
        <v>4</v>
      </c>
      <c r="H7" s="1" t="s">
        <v>13</v>
      </c>
      <c r="M7" s="37"/>
      <c r="N7" s="36"/>
      <c r="P7" s="37"/>
      <c r="Q7" s="38"/>
      <c r="R7" s="38"/>
    </row>
    <row r="8" spans="1:18" x14ac:dyDescent="0.2">
      <c r="B8" s="132" t="s">
        <v>120</v>
      </c>
      <c r="C8" s="34" t="s">
        <v>121</v>
      </c>
      <c r="D8" s="35">
        <v>2466</v>
      </c>
      <c r="E8" s="35" t="s">
        <v>11</v>
      </c>
      <c r="F8" s="35">
        <v>3</v>
      </c>
      <c r="G8" s="35">
        <v>3</v>
      </c>
      <c r="H8" s="35" t="s">
        <v>16</v>
      </c>
      <c r="M8" s="37"/>
      <c r="N8" s="36"/>
      <c r="P8" s="37"/>
      <c r="Q8" s="38"/>
      <c r="R8" s="38"/>
    </row>
    <row r="9" spans="1:18" x14ac:dyDescent="0.2">
      <c r="B9" s="4"/>
      <c r="C9" s="33" t="s">
        <v>122</v>
      </c>
      <c r="E9" s="1" t="s">
        <v>30</v>
      </c>
      <c r="G9" s="1">
        <v>2</v>
      </c>
      <c r="H9" s="1" t="s">
        <v>13</v>
      </c>
      <c r="M9" s="37"/>
      <c r="N9" s="36"/>
      <c r="P9" s="37"/>
      <c r="Q9" s="38"/>
      <c r="R9" s="38"/>
    </row>
    <row r="10" spans="1:18" x14ac:dyDescent="0.2">
      <c r="B10" s="132" t="s">
        <v>576</v>
      </c>
      <c r="C10" s="34" t="s">
        <v>123</v>
      </c>
      <c r="D10" s="35"/>
      <c r="E10" s="35" t="s">
        <v>94</v>
      </c>
      <c r="F10" s="35">
        <v>2</v>
      </c>
      <c r="G10" s="35">
        <v>2</v>
      </c>
      <c r="H10" s="35" t="s">
        <v>13</v>
      </c>
      <c r="M10" s="37"/>
      <c r="N10" s="36"/>
      <c r="P10" s="37"/>
      <c r="Q10" s="38"/>
      <c r="R10" s="38"/>
    </row>
    <row r="11" spans="1:18" x14ac:dyDescent="0.2">
      <c r="B11" s="4" t="s">
        <v>124</v>
      </c>
      <c r="C11" s="33" t="s">
        <v>125</v>
      </c>
      <c r="D11" s="1">
        <v>1233</v>
      </c>
      <c r="E11" s="1" t="s">
        <v>11</v>
      </c>
      <c r="F11" s="1">
        <v>2</v>
      </c>
      <c r="G11" s="1">
        <v>2</v>
      </c>
      <c r="H11" s="1" t="s">
        <v>13</v>
      </c>
      <c r="M11" s="37"/>
      <c r="N11" s="36"/>
      <c r="P11" s="37"/>
      <c r="Q11" s="38"/>
      <c r="R11" s="38"/>
    </row>
    <row r="12" spans="1:18" x14ac:dyDescent="0.2">
      <c r="B12" s="132"/>
      <c r="C12" s="34" t="s">
        <v>126</v>
      </c>
      <c r="D12" s="35"/>
      <c r="E12" s="35" t="s">
        <v>76</v>
      </c>
      <c r="F12" s="35"/>
      <c r="G12" s="35">
        <v>2</v>
      </c>
      <c r="H12" s="35" t="s">
        <v>16</v>
      </c>
      <c r="M12" s="37"/>
      <c r="N12" s="36"/>
      <c r="P12" s="37"/>
      <c r="Q12" s="38"/>
      <c r="R12" s="38"/>
    </row>
    <row r="13" spans="1:18" x14ac:dyDescent="0.2">
      <c r="B13" s="4"/>
      <c r="C13" s="33" t="s">
        <v>127</v>
      </c>
      <c r="E13" s="1" t="s">
        <v>30</v>
      </c>
      <c r="G13" s="1">
        <v>2</v>
      </c>
      <c r="H13" s="1" t="s">
        <v>13</v>
      </c>
      <c r="M13" s="37"/>
      <c r="N13" s="36"/>
      <c r="P13" s="37"/>
      <c r="Q13" s="38"/>
      <c r="R13" s="38"/>
    </row>
    <row r="14" spans="1:18" x14ac:dyDescent="0.2">
      <c r="B14" s="132"/>
      <c r="C14" s="34" t="s">
        <v>128</v>
      </c>
      <c r="D14" s="35"/>
      <c r="E14" s="35" t="s">
        <v>76</v>
      </c>
      <c r="F14" s="35"/>
      <c r="G14" s="35">
        <v>1</v>
      </c>
      <c r="H14" s="35" t="s">
        <v>13</v>
      </c>
      <c r="M14" s="37"/>
      <c r="N14" s="36"/>
      <c r="P14" s="37"/>
      <c r="Q14" s="38"/>
      <c r="R14" s="38"/>
    </row>
    <row r="15" spans="1:18" x14ac:dyDescent="0.2">
      <c r="B15" s="4"/>
      <c r="C15" s="33" t="s">
        <v>129</v>
      </c>
      <c r="E15" s="1" t="s">
        <v>76</v>
      </c>
      <c r="G15" s="1">
        <v>2</v>
      </c>
      <c r="H15" s="1" t="s">
        <v>13</v>
      </c>
      <c r="M15" s="37"/>
      <c r="N15" s="36"/>
      <c r="P15" s="37"/>
      <c r="Q15" s="38"/>
      <c r="R15" s="38"/>
    </row>
    <row r="16" spans="1:18" x14ac:dyDescent="0.2">
      <c r="B16" s="131" t="s">
        <v>507</v>
      </c>
      <c r="C16" s="33" t="s">
        <v>508</v>
      </c>
      <c r="E16" s="1" t="s">
        <v>11</v>
      </c>
      <c r="M16" s="37"/>
      <c r="N16" s="36"/>
      <c r="P16" s="37"/>
      <c r="Q16" s="38"/>
      <c r="R16" s="38"/>
    </row>
    <row r="17" spans="2:18" x14ac:dyDescent="0.2">
      <c r="B17" s="130" t="s">
        <v>714</v>
      </c>
      <c r="C17" s="34" t="s">
        <v>501</v>
      </c>
      <c r="D17" s="35"/>
      <c r="E17" s="35" t="s">
        <v>11</v>
      </c>
      <c r="F17" s="35">
        <v>4</v>
      </c>
      <c r="G17" s="35">
        <v>4</v>
      </c>
      <c r="H17" s="35" t="s">
        <v>13</v>
      </c>
      <c r="M17" s="37"/>
      <c r="N17" s="36"/>
      <c r="P17" s="37"/>
      <c r="Q17" s="38"/>
      <c r="R17" s="38"/>
    </row>
    <row r="18" spans="2:18" x14ac:dyDescent="0.2">
      <c r="B18" s="132"/>
      <c r="C18" s="34" t="s">
        <v>130</v>
      </c>
      <c r="D18" s="35"/>
      <c r="E18" s="35" t="s">
        <v>76</v>
      </c>
      <c r="F18" s="35"/>
      <c r="G18" s="35">
        <v>2</v>
      </c>
      <c r="H18" s="35" t="s">
        <v>13</v>
      </c>
      <c r="M18" s="37"/>
      <c r="N18" s="36"/>
      <c r="P18" s="37"/>
      <c r="Q18" s="38"/>
      <c r="R18" s="38"/>
    </row>
    <row r="19" spans="2:18" x14ac:dyDescent="0.2">
      <c r="B19" s="4" t="s">
        <v>131</v>
      </c>
      <c r="C19" s="33" t="s">
        <v>132</v>
      </c>
      <c r="D19" s="1">
        <v>57</v>
      </c>
      <c r="E19" s="1" t="s">
        <v>40</v>
      </c>
      <c r="F19" s="1">
        <v>2</v>
      </c>
      <c r="G19" s="1">
        <v>1</v>
      </c>
      <c r="H19" s="1" t="s">
        <v>16</v>
      </c>
      <c r="M19" s="37"/>
      <c r="N19" s="36"/>
      <c r="P19" s="37"/>
      <c r="Q19" s="38"/>
      <c r="R19" s="38"/>
    </row>
    <row r="20" spans="2:18" x14ac:dyDescent="0.2">
      <c r="B20" s="130" t="s">
        <v>133</v>
      </c>
      <c r="C20" s="34" t="s">
        <v>134</v>
      </c>
      <c r="D20" s="35">
        <v>2280</v>
      </c>
      <c r="E20" s="35" t="s">
        <v>100</v>
      </c>
      <c r="F20" s="35">
        <v>3</v>
      </c>
      <c r="G20" s="35">
        <v>3</v>
      </c>
      <c r="H20" s="35" t="s">
        <v>16</v>
      </c>
      <c r="M20" s="37"/>
      <c r="N20" s="36"/>
      <c r="P20" s="37"/>
      <c r="Q20" s="38"/>
      <c r="R20" s="38"/>
    </row>
    <row r="21" spans="2:18" x14ac:dyDescent="0.2">
      <c r="B21" s="131" t="s">
        <v>577</v>
      </c>
      <c r="C21" s="33" t="s">
        <v>578</v>
      </c>
      <c r="D21" s="1">
        <v>143</v>
      </c>
      <c r="E21" s="1" t="s">
        <v>76</v>
      </c>
      <c r="F21" s="1">
        <v>4</v>
      </c>
      <c r="G21" s="1">
        <v>4</v>
      </c>
      <c r="H21" s="1" t="s">
        <v>13</v>
      </c>
      <c r="M21" s="37"/>
      <c r="N21" s="36"/>
      <c r="P21" s="37"/>
      <c r="Q21" s="38"/>
      <c r="R21" s="38"/>
    </row>
    <row r="22" spans="2:18" x14ac:dyDescent="0.2">
      <c r="B22" s="4" t="s">
        <v>135</v>
      </c>
      <c r="C22" s="33" t="s">
        <v>136</v>
      </c>
      <c r="E22" s="1" t="s">
        <v>76</v>
      </c>
      <c r="F22" s="1">
        <v>3</v>
      </c>
      <c r="G22" s="1">
        <v>3</v>
      </c>
      <c r="H22" s="1" t="s">
        <v>13</v>
      </c>
      <c r="M22" s="37"/>
      <c r="N22" s="36"/>
      <c r="P22" s="37"/>
      <c r="Q22" s="38"/>
      <c r="R22" s="38"/>
    </row>
    <row r="23" spans="2:18" x14ac:dyDescent="0.2">
      <c r="B23" s="4"/>
      <c r="C23" s="33" t="s">
        <v>137</v>
      </c>
      <c r="E23" s="1" t="s">
        <v>110</v>
      </c>
      <c r="G23" s="1">
        <v>2</v>
      </c>
      <c r="H23" s="1" t="s">
        <v>13</v>
      </c>
      <c r="M23" s="37"/>
      <c r="N23" s="36"/>
      <c r="P23" s="37"/>
      <c r="Q23" s="38"/>
      <c r="R23" s="38"/>
    </row>
    <row r="24" spans="2:18" x14ac:dyDescent="0.2">
      <c r="B24" s="131" t="s">
        <v>579</v>
      </c>
      <c r="C24" s="33" t="s">
        <v>580</v>
      </c>
      <c r="E24" s="1" t="s">
        <v>46</v>
      </c>
      <c r="F24" s="1">
        <v>2</v>
      </c>
      <c r="G24" s="1">
        <v>2</v>
      </c>
      <c r="H24" s="1" t="s">
        <v>13</v>
      </c>
      <c r="M24" s="37"/>
      <c r="N24" s="36"/>
      <c r="P24" s="37"/>
      <c r="Q24" s="38"/>
      <c r="R24" s="38"/>
    </row>
    <row r="25" spans="2:18" x14ac:dyDescent="0.2">
      <c r="B25" s="131" t="s">
        <v>581</v>
      </c>
      <c r="C25" s="33" t="s">
        <v>582</v>
      </c>
      <c r="D25" s="1" t="s">
        <v>729</v>
      </c>
      <c r="E25" s="1" t="s">
        <v>58</v>
      </c>
      <c r="F25" s="1">
        <v>3</v>
      </c>
      <c r="G25" s="1">
        <v>2</v>
      </c>
      <c r="H25" s="1" t="s">
        <v>13</v>
      </c>
      <c r="M25" s="37"/>
      <c r="N25" s="36"/>
      <c r="P25" s="37"/>
      <c r="Q25" s="38"/>
      <c r="R25" s="38"/>
    </row>
    <row r="26" spans="2:18" x14ac:dyDescent="0.2">
      <c r="B26" s="131" t="s">
        <v>583</v>
      </c>
      <c r="C26" s="33" t="s">
        <v>584</v>
      </c>
      <c r="E26" s="1" t="s">
        <v>14</v>
      </c>
      <c r="F26" s="1">
        <v>4</v>
      </c>
      <c r="G26" s="1">
        <v>4</v>
      </c>
      <c r="H26" s="1" t="s">
        <v>13</v>
      </c>
      <c r="M26" s="37"/>
      <c r="N26" s="36"/>
      <c r="P26" s="37"/>
      <c r="Q26" s="38"/>
      <c r="R26" s="38"/>
    </row>
    <row r="27" spans="2:18" x14ac:dyDescent="0.2">
      <c r="B27" s="4" t="s">
        <v>138</v>
      </c>
      <c r="C27" s="33" t="s">
        <v>139</v>
      </c>
      <c r="D27" s="1">
        <v>2290</v>
      </c>
      <c r="E27" s="1" t="s">
        <v>100</v>
      </c>
      <c r="F27" s="1">
        <v>3</v>
      </c>
      <c r="G27" s="1">
        <v>3</v>
      </c>
      <c r="H27" s="1" t="s">
        <v>16</v>
      </c>
      <c r="M27" s="37"/>
      <c r="N27" s="36"/>
      <c r="P27" s="37"/>
      <c r="Q27" s="38"/>
      <c r="R27" s="38"/>
    </row>
    <row r="28" spans="2:18" x14ac:dyDescent="0.2">
      <c r="B28" s="130" t="s">
        <v>140</v>
      </c>
      <c r="C28" s="34" t="s">
        <v>499</v>
      </c>
      <c r="D28" s="35">
        <v>2456</v>
      </c>
      <c r="E28" s="35" t="s">
        <v>11</v>
      </c>
      <c r="F28" s="35">
        <v>4</v>
      </c>
      <c r="G28" s="35">
        <v>4</v>
      </c>
      <c r="H28" s="35" t="s">
        <v>13</v>
      </c>
      <c r="M28" s="37"/>
      <c r="N28" s="36"/>
      <c r="P28" s="37"/>
      <c r="Q28" s="38"/>
      <c r="R28" s="38"/>
    </row>
    <row r="29" spans="2:18" x14ac:dyDescent="0.2">
      <c r="B29" s="131" t="s">
        <v>141</v>
      </c>
      <c r="C29" s="33" t="s">
        <v>142</v>
      </c>
      <c r="E29" s="1" t="s">
        <v>11</v>
      </c>
      <c r="F29" s="1">
        <v>2</v>
      </c>
      <c r="G29" s="1">
        <v>2</v>
      </c>
      <c r="H29" s="1" t="s">
        <v>13</v>
      </c>
      <c r="M29" s="37"/>
      <c r="N29" s="36"/>
      <c r="P29" s="37"/>
      <c r="Q29" s="38"/>
      <c r="R29" s="38"/>
    </row>
    <row r="30" spans="2:18" x14ac:dyDescent="0.2">
      <c r="B30" s="131" t="s">
        <v>585</v>
      </c>
      <c r="C30" s="33" t="s">
        <v>586</v>
      </c>
      <c r="E30" s="1" t="s">
        <v>46</v>
      </c>
      <c r="F30" s="1">
        <v>4</v>
      </c>
      <c r="G30" s="1">
        <v>4</v>
      </c>
      <c r="H30" s="1" t="s">
        <v>587</v>
      </c>
      <c r="M30" s="37"/>
      <c r="N30" s="36"/>
      <c r="P30" s="37"/>
      <c r="Q30" s="38"/>
      <c r="R30" s="38"/>
    </row>
    <row r="31" spans="2:18" x14ac:dyDescent="0.2">
      <c r="B31" s="131" t="s">
        <v>588</v>
      </c>
      <c r="C31" s="33" t="s">
        <v>589</v>
      </c>
      <c r="D31" s="1">
        <v>3723</v>
      </c>
      <c r="E31" s="1" t="s">
        <v>34</v>
      </c>
      <c r="F31" s="1">
        <v>2</v>
      </c>
      <c r="G31" s="1">
        <v>2</v>
      </c>
      <c r="H31" s="1" t="s">
        <v>13</v>
      </c>
      <c r="M31" s="37"/>
      <c r="N31" s="36"/>
      <c r="P31" s="37"/>
      <c r="Q31" s="38"/>
      <c r="R31" s="38"/>
    </row>
    <row r="32" spans="2:18" x14ac:dyDescent="0.2">
      <c r="B32" s="131" t="s">
        <v>735</v>
      </c>
      <c r="C32" s="33" t="s">
        <v>497</v>
      </c>
      <c r="D32" s="1">
        <v>3790</v>
      </c>
      <c r="E32" s="1" t="s">
        <v>143</v>
      </c>
      <c r="F32" s="1">
        <v>3</v>
      </c>
      <c r="G32" s="1">
        <v>2</v>
      </c>
      <c r="H32" s="1" t="s">
        <v>13</v>
      </c>
      <c r="M32" s="37"/>
      <c r="N32" s="36"/>
      <c r="P32" s="37"/>
      <c r="Q32" s="38"/>
      <c r="R32" s="38"/>
    </row>
    <row r="33" spans="2:18" x14ac:dyDescent="0.2">
      <c r="B33" s="4" t="s">
        <v>144</v>
      </c>
      <c r="C33" s="33" t="s">
        <v>145</v>
      </c>
      <c r="D33" s="1">
        <v>125</v>
      </c>
      <c r="E33" s="1" t="s">
        <v>40</v>
      </c>
      <c r="F33" s="1">
        <v>2</v>
      </c>
      <c r="G33" s="1">
        <v>2</v>
      </c>
      <c r="H33" s="1" t="s">
        <v>13</v>
      </c>
      <c r="M33" s="37"/>
      <c r="N33" s="36"/>
      <c r="P33" s="37"/>
      <c r="Q33" s="38"/>
      <c r="R33" s="38"/>
    </row>
    <row r="34" spans="2:18" x14ac:dyDescent="0.2">
      <c r="B34" s="131"/>
      <c r="C34" s="33" t="s">
        <v>146</v>
      </c>
      <c r="E34" s="1"/>
      <c r="G34" s="1">
        <v>4</v>
      </c>
      <c r="H34" s="1" t="s">
        <v>13</v>
      </c>
      <c r="M34" s="37"/>
      <c r="N34" s="36"/>
      <c r="P34" s="37"/>
      <c r="Q34" s="38"/>
      <c r="R34" s="38"/>
    </row>
    <row r="35" spans="2:18" x14ac:dyDescent="0.2">
      <c r="B35" s="1" t="s">
        <v>678</v>
      </c>
      <c r="C35" s="33" t="s">
        <v>147</v>
      </c>
      <c r="E35" s="1" t="s">
        <v>70</v>
      </c>
      <c r="F35" s="1">
        <v>2</v>
      </c>
      <c r="G35" s="1">
        <v>2</v>
      </c>
      <c r="H35" s="1" t="s">
        <v>13</v>
      </c>
      <c r="M35" s="37"/>
      <c r="N35" s="36"/>
      <c r="P35" s="37"/>
      <c r="Q35" s="38"/>
      <c r="R35" s="38"/>
    </row>
    <row r="36" spans="2:18" x14ac:dyDescent="0.2">
      <c r="B36" s="4"/>
      <c r="C36" s="33" t="s">
        <v>148</v>
      </c>
      <c r="E36" s="1" t="s">
        <v>102</v>
      </c>
      <c r="G36" s="1">
        <v>2</v>
      </c>
      <c r="H36" s="1" t="s">
        <v>13</v>
      </c>
      <c r="M36" s="37"/>
      <c r="N36" s="36"/>
      <c r="P36" s="37"/>
      <c r="Q36" s="38"/>
      <c r="R36" s="38"/>
    </row>
    <row r="37" spans="2:18" x14ac:dyDescent="0.2">
      <c r="B37" s="4" t="s">
        <v>149</v>
      </c>
      <c r="C37" s="33" t="s">
        <v>150</v>
      </c>
      <c r="D37" s="1">
        <v>2266</v>
      </c>
      <c r="E37" s="1" t="s">
        <v>100</v>
      </c>
      <c r="F37" s="1">
        <v>2</v>
      </c>
      <c r="G37" s="1">
        <v>2</v>
      </c>
      <c r="H37" s="124" t="s">
        <v>16</v>
      </c>
      <c r="M37" s="37"/>
      <c r="N37" s="36"/>
      <c r="P37" s="37"/>
      <c r="Q37" s="38"/>
      <c r="R37" s="38"/>
    </row>
    <row r="38" spans="2:18" x14ac:dyDescent="0.2">
      <c r="B38" s="130" t="s">
        <v>662</v>
      </c>
      <c r="C38" s="34" t="s">
        <v>663</v>
      </c>
      <c r="D38" s="35">
        <v>5630</v>
      </c>
      <c r="E38" s="35" t="s">
        <v>11</v>
      </c>
      <c r="F38" s="35">
        <v>4</v>
      </c>
      <c r="G38" s="35">
        <v>4</v>
      </c>
      <c r="H38" s="35" t="s">
        <v>13</v>
      </c>
      <c r="M38" s="37"/>
      <c r="N38" s="36"/>
      <c r="P38" s="37"/>
      <c r="Q38" s="38"/>
      <c r="R38" s="38"/>
    </row>
    <row r="39" spans="2:18" x14ac:dyDescent="0.2">
      <c r="B39" s="4" t="s">
        <v>509</v>
      </c>
      <c r="C39" s="33" t="s">
        <v>151</v>
      </c>
      <c r="E39" s="1" t="s">
        <v>11</v>
      </c>
      <c r="F39" s="1">
        <v>4</v>
      </c>
      <c r="G39" s="1">
        <v>4</v>
      </c>
      <c r="H39" s="1" t="s">
        <v>13</v>
      </c>
      <c r="M39" s="37"/>
      <c r="N39" s="36"/>
      <c r="P39" s="37"/>
      <c r="Q39" s="38"/>
      <c r="R39" s="38"/>
    </row>
    <row r="40" spans="2:18" x14ac:dyDescent="0.2">
      <c r="B40" s="4" t="s">
        <v>152</v>
      </c>
      <c r="C40" s="33" t="s">
        <v>153</v>
      </c>
      <c r="D40" s="1">
        <v>310</v>
      </c>
      <c r="E40" s="1" t="s">
        <v>17</v>
      </c>
      <c r="F40" s="1">
        <v>3</v>
      </c>
      <c r="G40" s="1">
        <v>3</v>
      </c>
      <c r="H40" s="124" t="s">
        <v>13</v>
      </c>
      <c r="M40" s="37"/>
      <c r="N40" s="36"/>
      <c r="P40" s="37"/>
      <c r="Q40" s="38"/>
      <c r="R40" s="38"/>
    </row>
    <row r="41" spans="2:18" x14ac:dyDescent="0.2">
      <c r="B41" s="131" t="s">
        <v>510</v>
      </c>
      <c r="C41" s="33" t="s">
        <v>511</v>
      </c>
      <c r="E41" s="1" t="s">
        <v>11</v>
      </c>
      <c r="H41" s="124"/>
      <c r="M41" s="37"/>
      <c r="N41" s="36"/>
      <c r="P41" s="37"/>
      <c r="Q41" s="38"/>
      <c r="R41" s="38"/>
    </row>
    <row r="42" spans="2:18" x14ac:dyDescent="0.2">
      <c r="B42" s="131" t="s">
        <v>736</v>
      </c>
      <c r="C42" s="33" t="s">
        <v>154</v>
      </c>
      <c r="D42" s="1">
        <v>2754</v>
      </c>
      <c r="E42" s="1" t="s">
        <v>94</v>
      </c>
      <c r="F42" s="1">
        <v>2</v>
      </c>
      <c r="G42" s="1">
        <v>2</v>
      </c>
      <c r="H42" s="124" t="s">
        <v>13</v>
      </c>
      <c r="M42" s="37"/>
      <c r="N42" s="36"/>
      <c r="P42" s="37"/>
      <c r="Q42" s="38"/>
      <c r="R42" s="38"/>
    </row>
    <row r="43" spans="2:18" x14ac:dyDescent="0.2">
      <c r="B43" s="131" t="s">
        <v>590</v>
      </c>
      <c r="C43" s="33" t="s">
        <v>591</v>
      </c>
      <c r="D43" s="1">
        <v>3711</v>
      </c>
      <c r="E43" s="1" t="s">
        <v>34</v>
      </c>
      <c r="F43" s="1">
        <v>2</v>
      </c>
      <c r="G43" s="1">
        <v>2</v>
      </c>
      <c r="H43" s="1" t="s">
        <v>13</v>
      </c>
      <c r="M43" s="37"/>
      <c r="N43" s="36"/>
      <c r="P43" s="37"/>
      <c r="Q43" s="38"/>
      <c r="R43" s="38"/>
    </row>
    <row r="44" spans="2:18" x14ac:dyDescent="0.2">
      <c r="B44" s="4"/>
      <c r="C44" s="33" t="s">
        <v>155</v>
      </c>
      <c r="E44" s="1" t="s">
        <v>11</v>
      </c>
      <c r="G44" s="1">
        <v>4</v>
      </c>
      <c r="H44" s="1" t="s">
        <v>13</v>
      </c>
      <c r="M44" s="37"/>
      <c r="N44" s="36"/>
      <c r="P44" s="37"/>
      <c r="Q44" s="38"/>
      <c r="R44" s="38"/>
    </row>
    <row r="45" spans="2:18" x14ac:dyDescent="0.2">
      <c r="B45" s="131" t="s">
        <v>512</v>
      </c>
      <c r="C45" s="33" t="s">
        <v>513</v>
      </c>
      <c r="E45" s="1" t="s">
        <v>11</v>
      </c>
      <c r="H45" s="124"/>
      <c r="M45" s="37"/>
      <c r="N45" s="36"/>
      <c r="P45" s="37"/>
      <c r="Q45" s="38"/>
      <c r="R45" s="38"/>
    </row>
    <row r="46" spans="2:18" x14ac:dyDescent="0.2">
      <c r="B46" s="130" t="s">
        <v>156</v>
      </c>
      <c r="C46" s="34" t="s">
        <v>157</v>
      </c>
      <c r="D46" s="35"/>
      <c r="E46" s="35" t="s">
        <v>54</v>
      </c>
      <c r="F46" s="35">
        <v>3</v>
      </c>
      <c r="G46" s="35">
        <v>3</v>
      </c>
      <c r="H46" s="128" t="s">
        <v>13</v>
      </c>
      <c r="M46" s="37"/>
      <c r="N46" s="36"/>
      <c r="P46" s="37"/>
      <c r="Q46" s="38"/>
      <c r="R46" s="38"/>
    </row>
    <row r="47" spans="2:18" x14ac:dyDescent="0.2">
      <c r="B47" s="131" t="s">
        <v>592</v>
      </c>
      <c r="C47" s="33" t="s">
        <v>593</v>
      </c>
      <c r="D47" s="1">
        <v>2600</v>
      </c>
      <c r="E47" s="1" t="s">
        <v>94</v>
      </c>
      <c r="F47" s="1">
        <v>1</v>
      </c>
      <c r="G47" s="1">
        <v>1</v>
      </c>
      <c r="H47" s="1" t="s">
        <v>13</v>
      </c>
      <c r="M47" s="37"/>
      <c r="N47" s="36"/>
      <c r="P47" s="1"/>
      <c r="Q47" s="1"/>
      <c r="R47" s="1"/>
    </row>
    <row r="48" spans="2:18" x14ac:dyDescent="0.2">
      <c r="B48" s="4" t="s">
        <v>158</v>
      </c>
      <c r="C48" s="33" t="s">
        <v>159</v>
      </c>
      <c r="D48" s="1">
        <v>3856</v>
      </c>
      <c r="E48" s="1" t="s">
        <v>143</v>
      </c>
      <c r="F48" s="1">
        <v>3</v>
      </c>
      <c r="G48" s="1">
        <v>3</v>
      </c>
      <c r="H48" s="1" t="s">
        <v>13</v>
      </c>
      <c r="M48" s="37"/>
      <c r="N48" s="36"/>
      <c r="P48" s="1"/>
      <c r="Q48" s="1"/>
      <c r="R48" s="1"/>
    </row>
    <row r="49" spans="2:20" x14ac:dyDescent="0.2">
      <c r="B49" s="131" t="s">
        <v>594</v>
      </c>
      <c r="C49" s="33" t="s">
        <v>595</v>
      </c>
      <c r="D49" s="1" t="s">
        <v>728</v>
      </c>
      <c r="E49" s="1" t="s">
        <v>0</v>
      </c>
      <c r="F49" s="1">
        <v>4</v>
      </c>
      <c r="G49" s="1">
        <v>4</v>
      </c>
      <c r="H49" s="1" t="s">
        <v>13</v>
      </c>
      <c r="M49" s="37"/>
      <c r="N49" s="36"/>
      <c r="P49" s="1"/>
      <c r="Q49" s="1"/>
      <c r="R49" s="1"/>
    </row>
    <row r="50" spans="2:20" x14ac:dyDescent="0.2">
      <c r="B50" s="130" t="s">
        <v>160</v>
      </c>
      <c r="C50" s="34" t="s">
        <v>500</v>
      </c>
      <c r="D50" s="35">
        <v>2541</v>
      </c>
      <c r="E50" s="35" t="s">
        <v>11</v>
      </c>
      <c r="F50" s="35">
        <v>3</v>
      </c>
      <c r="G50" s="35">
        <v>3</v>
      </c>
      <c r="H50" s="35" t="s">
        <v>13</v>
      </c>
      <c r="M50" s="37"/>
      <c r="N50" s="36"/>
      <c r="P50" s="1"/>
      <c r="Q50" s="1"/>
      <c r="R50" s="1"/>
    </row>
    <row r="51" spans="2:20" x14ac:dyDescent="0.2">
      <c r="B51" s="4"/>
      <c r="C51" s="33" t="s">
        <v>161</v>
      </c>
      <c r="E51" s="1" t="s">
        <v>11</v>
      </c>
      <c r="G51" s="1">
        <v>4</v>
      </c>
      <c r="H51" s="1" t="s">
        <v>16</v>
      </c>
      <c r="M51" s="37"/>
      <c r="N51" s="36"/>
      <c r="Q51" s="37"/>
      <c r="R51" s="36"/>
      <c r="T51" s="1"/>
    </row>
    <row r="52" spans="2:20" x14ac:dyDescent="0.2">
      <c r="B52" s="4"/>
      <c r="C52" s="33" t="s">
        <v>162</v>
      </c>
      <c r="E52" s="1" t="s">
        <v>94</v>
      </c>
      <c r="G52" s="1">
        <v>4</v>
      </c>
      <c r="H52" s="1" t="s">
        <v>13</v>
      </c>
      <c r="M52" s="37"/>
      <c r="N52" s="36"/>
      <c r="Q52" s="37"/>
      <c r="R52" s="36"/>
      <c r="T52" s="1"/>
    </row>
    <row r="53" spans="2:20" x14ac:dyDescent="0.2">
      <c r="B53" s="4" t="s">
        <v>163</v>
      </c>
      <c r="C53" s="33" t="s">
        <v>164</v>
      </c>
      <c r="E53" s="1" t="s">
        <v>102</v>
      </c>
      <c r="F53" s="1">
        <v>3</v>
      </c>
      <c r="G53" s="1">
        <v>3</v>
      </c>
      <c r="H53" s="1" t="s">
        <v>13</v>
      </c>
      <c r="M53" s="37"/>
      <c r="N53" s="36"/>
      <c r="Q53" s="37"/>
      <c r="R53" s="36"/>
      <c r="T53" s="1"/>
    </row>
    <row r="54" spans="2:20" x14ac:dyDescent="0.2">
      <c r="B54" s="131" t="s">
        <v>165</v>
      </c>
      <c r="C54" s="33" t="s">
        <v>166</v>
      </c>
      <c r="D54" s="1">
        <v>2379</v>
      </c>
      <c r="E54" s="1" t="s">
        <v>102</v>
      </c>
      <c r="F54" s="1">
        <v>3</v>
      </c>
      <c r="G54" s="1">
        <v>3</v>
      </c>
      <c r="H54" s="1" t="s">
        <v>13</v>
      </c>
      <c r="M54" s="37"/>
      <c r="N54" s="36"/>
      <c r="Q54" s="37"/>
      <c r="R54" s="36"/>
      <c r="T54" s="1"/>
    </row>
    <row r="55" spans="2:20" x14ac:dyDescent="0.2">
      <c r="B55" s="131" t="s">
        <v>167</v>
      </c>
      <c r="C55" s="33" t="s">
        <v>168</v>
      </c>
      <c r="E55" s="1" t="s">
        <v>100</v>
      </c>
      <c r="F55" s="1">
        <v>4</v>
      </c>
      <c r="G55" s="1">
        <v>4</v>
      </c>
      <c r="H55" s="1" t="s">
        <v>13</v>
      </c>
      <c r="M55" s="37"/>
      <c r="N55" s="36"/>
      <c r="Q55" s="37"/>
      <c r="R55" s="36"/>
      <c r="T55" s="1"/>
    </row>
    <row r="56" spans="2:20" x14ac:dyDescent="0.2">
      <c r="B56" s="4"/>
      <c r="C56" s="33" t="s">
        <v>169</v>
      </c>
      <c r="E56" s="1" t="s">
        <v>76</v>
      </c>
      <c r="H56" s="1" t="s">
        <v>13</v>
      </c>
      <c r="M56" s="37"/>
      <c r="N56" s="36"/>
      <c r="Q56" s="37"/>
      <c r="R56" s="36"/>
      <c r="T56" s="1"/>
    </row>
    <row r="57" spans="2:20" x14ac:dyDescent="0.2">
      <c r="B57" s="4"/>
      <c r="C57" s="33" t="s">
        <v>170</v>
      </c>
      <c r="E57" s="1" t="s">
        <v>110</v>
      </c>
      <c r="G57" s="1">
        <v>3</v>
      </c>
      <c r="H57" s="1" t="s">
        <v>13</v>
      </c>
      <c r="M57" s="37"/>
      <c r="N57" s="36"/>
      <c r="Q57" s="37"/>
      <c r="R57" s="36"/>
      <c r="T57" s="1"/>
    </row>
    <row r="58" spans="2:20" x14ac:dyDescent="0.2">
      <c r="B58" s="4"/>
      <c r="C58" s="33" t="s">
        <v>171</v>
      </c>
      <c r="E58" s="1" t="s">
        <v>40</v>
      </c>
      <c r="G58" s="1">
        <v>2</v>
      </c>
      <c r="H58" s="124" t="s">
        <v>16</v>
      </c>
      <c r="M58" s="37"/>
      <c r="N58" s="36"/>
      <c r="Q58" s="37"/>
      <c r="R58" s="36"/>
      <c r="T58" s="1"/>
    </row>
    <row r="59" spans="2:20" x14ac:dyDescent="0.2">
      <c r="B59" s="4" t="s">
        <v>596</v>
      </c>
      <c r="C59" s="33" t="s">
        <v>172</v>
      </c>
      <c r="E59" s="1" t="s">
        <v>14</v>
      </c>
      <c r="F59" s="1">
        <v>4</v>
      </c>
      <c r="H59" s="124" t="s">
        <v>16</v>
      </c>
      <c r="M59" s="37"/>
      <c r="N59" s="36"/>
      <c r="Q59" s="37"/>
      <c r="R59" s="36"/>
      <c r="T59" s="1"/>
    </row>
    <row r="60" spans="2:20" x14ac:dyDescent="0.2">
      <c r="B60" s="131" t="s">
        <v>173</v>
      </c>
      <c r="C60" s="33" t="s">
        <v>174</v>
      </c>
      <c r="D60" s="1">
        <v>1232</v>
      </c>
      <c r="E60" s="1" t="s">
        <v>36</v>
      </c>
      <c r="F60" s="1">
        <v>4</v>
      </c>
      <c r="G60" s="1">
        <v>4</v>
      </c>
      <c r="H60" s="1" t="s">
        <v>13</v>
      </c>
      <c r="M60" s="37"/>
      <c r="N60" s="36"/>
      <c r="Q60" s="37"/>
      <c r="R60" s="36"/>
      <c r="T60" s="1"/>
    </row>
    <row r="61" spans="2:20" x14ac:dyDescent="0.2">
      <c r="B61" s="131" t="s">
        <v>175</v>
      </c>
      <c r="C61" s="33" t="s">
        <v>176</v>
      </c>
      <c r="D61" s="1" t="s">
        <v>732</v>
      </c>
      <c r="E61" s="1" t="s">
        <v>76</v>
      </c>
      <c r="F61" s="1">
        <v>2</v>
      </c>
      <c r="G61" s="1">
        <v>2</v>
      </c>
      <c r="H61" s="1" t="s">
        <v>13</v>
      </c>
      <c r="M61" s="37"/>
      <c r="N61" s="36"/>
      <c r="Q61" s="37"/>
      <c r="R61" s="36"/>
      <c r="T61" s="1"/>
    </row>
    <row r="62" spans="2:20" x14ac:dyDescent="0.2">
      <c r="B62" s="4"/>
      <c r="C62" s="33" t="s">
        <v>177</v>
      </c>
      <c r="E62" s="1" t="s">
        <v>30</v>
      </c>
      <c r="H62" s="1" t="s">
        <v>13</v>
      </c>
      <c r="M62" s="37"/>
      <c r="N62" s="36"/>
      <c r="Q62" s="37"/>
      <c r="R62" s="36"/>
      <c r="T62" s="1"/>
    </row>
    <row r="63" spans="2:20" x14ac:dyDescent="0.2">
      <c r="B63" s="4"/>
      <c r="C63" s="33" t="s">
        <v>178</v>
      </c>
      <c r="E63" s="1" t="s">
        <v>94</v>
      </c>
      <c r="G63" s="1">
        <v>2</v>
      </c>
      <c r="H63" s="1" t="s">
        <v>13</v>
      </c>
      <c r="M63" s="37"/>
      <c r="N63" s="36"/>
      <c r="Q63" s="37"/>
      <c r="R63" s="36"/>
      <c r="T63" s="1"/>
    </row>
    <row r="64" spans="2:20" x14ac:dyDescent="0.2">
      <c r="B64" s="130" t="s">
        <v>743</v>
      </c>
      <c r="C64" s="34" t="s">
        <v>744</v>
      </c>
      <c r="D64" s="35"/>
      <c r="E64" s="35" t="s">
        <v>76</v>
      </c>
      <c r="F64" s="35">
        <v>2</v>
      </c>
      <c r="G64" s="35">
        <v>2</v>
      </c>
      <c r="H64" s="35" t="s">
        <v>13</v>
      </c>
      <c r="M64" s="37"/>
      <c r="N64" s="36"/>
      <c r="Q64" s="37"/>
      <c r="R64" s="36"/>
      <c r="T64" s="1"/>
    </row>
    <row r="65" spans="2:20" x14ac:dyDescent="0.2">
      <c r="B65" s="130" t="s">
        <v>179</v>
      </c>
      <c r="C65" s="34" t="s">
        <v>180</v>
      </c>
      <c r="D65" s="35" t="s">
        <v>722</v>
      </c>
      <c r="E65" s="35" t="s">
        <v>76</v>
      </c>
      <c r="F65" s="35">
        <v>4</v>
      </c>
      <c r="G65" s="35">
        <v>2</v>
      </c>
      <c r="H65" s="128" t="s">
        <v>13</v>
      </c>
      <c r="M65" s="37"/>
      <c r="N65" s="36"/>
      <c r="Q65" s="37"/>
      <c r="R65" s="36"/>
      <c r="T65" s="1"/>
    </row>
    <row r="66" spans="2:20" x14ac:dyDescent="0.2">
      <c r="B66" s="4"/>
      <c r="C66" s="33" t="s">
        <v>181</v>
      </c>
      <c r="E66" s="1" t="s">
        <v>46</v>
      </c>
      <c r="H66" s="1" t="s">
        <v>16</v>
      </c>
      <c r="M66" s="37"/>
      <c r="N66" s="36"/>
      <c r="Q66" s="37"/>
      <c r="R66" s="36"/>
      <c r="T66" s="1"/>
    </row>
    <row r="67" spans="2:20" x14ac:dyDescent="0.2">
      <c r="B67" s="131" t="s">
        <v>182</v>
      </c>
      <c r="C67" s="33" t="s">
        <v>183</v>
      </c>
      <c r="D67" s="1">
        <v>2255</v>
      </c>
      <c r="E67" s="1" t="s">
        <v>100</v>
      </c>
      <c r="F67" s="1">
        <v>2</v>
      </c>
      <c r="G67" s="1">
        <v>2</v>
      </c>
      <c r="H67" s="1" t="s">
        <v>16</v>
      </c>
      <c r="M67" s="37"/>
      <c r="N67" s="36"/>
    </row>
    <row r="68" spans="2:20" x14ac:dyDescent="0.2">
      <c r="B68" s="4"/>
      <c r="C68" s="33" t="s">
        <v>184</v>
      </c>
      <c r="E68" s="1" t="s">
        <v>40</v>
      </c>
      <c r="G68" s="1">
        <v>2</v>
      </c>
      <c r="H68" s="1" t="s">
        <v>13</v>
      </c>
      <c r="M68" s="37"/>
      <c r="N68" s="36"/>
    </row>
    <row r="69" spans="2:20" x14ac:dyDescent="0.2">
      <c r="B69" s="4"/>
      <c r="C69" s="33" t="s">
        <v>185</v>
      </c>
      <c r="E69" s="1" t="s">
        <v>80</v>
      </c>
      <c r="G69" s="1">
        <v>3</v>
      </c>
      <c r="H69" s="1" t="s">
        <v>13</v>
      </c>
      <c r="M69" s="37"/>
      <c r="N69" s="36"/>
    </row>
    <row r="70" spans="2:20" x14ac:dyDescent="0.2">
      <c r="B70" s="131" t="s">
        <v>186</v>
      </c>
      <c r="C70" s="33" t="s">
        <v>187</v>
      </c>
      <c r="D70" s="1">
        <v>1716</v>
      </c>
      <c r="E70" s="1" t="s">
        <v>70</v>
      </c>
      <c r="F70" s="1">
        <v>3</v>
      </c>
      <c r="G70" s="1">
        <v>3</v>
      </c>
      <c r="H70" s="1" t="s">
        <v>13</v>
      </c>
      <c r="M70" s="37"/>
      <c r="N70" s="36"/>
    </row>
    <row r="71" spans="2:20" x14ac:dyDescent="0.2">
      <c r="B71" s="4" t="s">
        <v>188</v>
      </c>
      <c r="C71" s="33" t="s">
        <v>189</v>
      </c>
      <c r="D71" s="1">
        <v>2352</v>
      </c>
      <c r="E71" s="1" t="s">
        <v>36</v>
      </c>
      <c r="F71" s="1">
        <v>3</v>
      </c>
      <c r="G71" s="1">
        <v>3</v>
      </c>
      <c r="H71" s="1" t="s">
        <v>13</v>
      </c>
      <c r="M71" s="37"/>
      <c r="N71" s="36"/>
    </row>
    <row r="72" spans="2:20" x14ac:dyDescent="0.2">
      <c r="B72" s="4" t="s">
        <v>190</v>
      </c>
      <c r="C72" s="33" t="s">
        <v>191</v>
      </c>
      <c r="E72" s="1" t="s">
        <v>11</v>
      </c>
      <c r="F72" s="1">
        <v>2</v>
      </c>
      <c r="G72" s="1">
        <v>2</v>
      </c>
      <c r="H72" s="1" t="s">
        <v>13</v>
      </c>
      <c r="M72" s="37"/>
      <c r="N72" s="36"/>
    </row>
    <row r="73" spans="2:20" x14ac:dyDescent="0.2">
      <c r="B73" s="4" t="s">
        <v>597</v>
      </c>
      <c r="C73" s="33" t="s">
        <v>192</v>
      </c>
      <c r="E73" s="1" t="s">
        <v>76</v>
      </c>
      <c r="F73" s="1">
        <v>2</v>
      </c>
      <c r="G73" s="1">
        <v>1</v>
      </c>
      <c r="H73" s="1" t="s">
        <v>13</v>
      </c>
      <c r="M73" s="37"/>
      <c r="N73" s="36"/>
    </row>
    <row r="74" spans="2:20" x14ac:dyDescent="0.2">
      <c r="B74" s="131" t="s">
        <v>514</v>
      </c>
      <c r="C74" s="33" t="s">
        <v>515</v>
      </c>
      <c r="E74" s="1" t="s">
        <v>11</v>
      </c>
      <c r="F74" s="1">
        <v>4</v>
      </c>
      <c r="G74" s="1">
        <v>4</v>
      </c>
      <c r="H74" s="1" t="s">
        <v>13</v>
      </c>
      <c r="M74" s="37"/>
      <c r="N74" s="36"/>
    </row>
    <row r="75" spans="2:20" x14ac:dyDescent="0.2">
      <c r="B75" s="4" t="s">
        <v>598</v>
      </c>
      <c r="C75" s="33" t="s">
        <v>193</v>
      </c>
      <c r="E75" s="1" t="s">
        <v>46</v>
      </c>
      <c r="F75" s="1">
        <v>2</v>
      </c>
      <c r="H75" s="1" t="s">
        <v>13</v>
      </c>
      <c r="M75" s="37"/>
      <c r="N75" s="36"/>
    </row>
    <row r="76" spans="2:20" x14ac:dyDescent="0.2">
      <c r="B76" s="130" t="s">
        <v>748</v>
      </c>
      <c r="C76" s="34" t="s">
        <v>749</v>
      </c>
      <c r="D76" s="35">
        <v>2333</v>
      </c>
      <c r="E76" s="35" t="s">
        <v>100</v>
      </c>
      <c r="F76" s="35">
        <v>4</v>
      </c>
      <c r="G76" s="35">
        <v>4</v>
      </c>
      <c r="H76" s="35" t="s">
        <v>7</v>
      </c>
      <c r="M76" s="37"/>
      <c r="N76" s="36"/>
    </row>
    <row r="77" spans="2:20" x14ac:dyDescent="0.2">
      <c r="B77" s="131" t="s">
        <v>516</v>
      </c>
      <c r="C77" s="33" t="s">
        <v>517</v>
      </c>
      <c r="E77" s="1" t="s">
        <v>11</v>
      </c>
      <c r="M77" s="37"/>
      <c r="N77" s="36"/>
    </row>
    <row r="78" spans="2:20" x14ac:dyDescent="0.2">
      <c r="B78" s="4" t="s">
        <v>194</v>
      </c>
      <c r="C78" s="33" t="s">
        <v>195</v>
      </c>
      <c r="E78" s="1" t="s">
        <v>76</v>
      </c>
      <c r="F78" s="1">
        <v>2</v>
      </c>
      <c r="G78" s="1">
        <v>2</v>
      </c>
      <c r="H78" s="1" t="s">
        <v>16</v>
      </c>
      <c r="M78" s="37"/>
      <c r="N78" s="36"/>
    </row>
    <row r="79" spans="2:20" x14ac:dyDescent="0.2">
      <c r="B79" s="4"/>
      <c r="C79" s="33" t="s">
        <v>196</v>
      </c>
      <c r="E79" s="1" t="s">
        <v>34</v>
      </c>
      <c r="G79" s="1">
        <v>4</v>
      </c>
      <c r="H79" s="1" t="s">
        <v>13</v>
      </c>
      <c r="M79" s="37"/>
      <c r="N79" s="36"/>
    </row>
    <row r="80" spans="2:20" x14ac:dyDescent="0.2">
      <c r="B80" s="4"/>
      <c r="C80" s="33" t="s">
        <v>197</v>
      </c>
      <c r="E80" s="1" t="s">
        <v>100</v>
      </c>
      <c r="G80" s="1">
        <v>3</v>
      </c>
      <c r="H80" s="1" t="s">
        <v>13</v>
      </c>
      <c r="M80" s="37"/>
      <c r="N80" s="36"/>
    </row>
    <row r="81" spans="2:14" x14ac:dyDescent="0.2">
      <c r="B81" s="131" t="s">
        <v>599</v>
      </c>
      <c r="C81" s="33" t="s">
        <v>600</v>
      </c>
      <c r="D81" s="1" t="s">
        <v>721</v>
      </c>
      <c r="E81" s="1" t="s">
        <v>0</v>
      </c>
      <c r="F81" s="1">
        <v>4</v>
      </c>
      <c r="G81" s="1">
        <v>4</v>
      </c>
      <c r="H81" s="1" t="s">
        <v>13</v>
      </c>
      <c r="M81" s="37"/>
      <c r="N81" s="36"/>
    </row>
    <row r="82" spans="2:14" x14ac:dyDescent="0.2">
      <c r="B82" s="4"/>
      <c r="C82" s="33" t="s">
        <v>198</v>
      </c>
      <c r="E82" s="1" t="s">
        <v>102</v>
      </c>
      <c r="G82" s="1">
        <v>3</v>
      </c>
      <c r="H82" s="1" t="s">
        <v>16</v>
      </c>
      <c r="M82" s="37"/>
      <c r="N82" s="36"/>
    </row>
    <row r="83" spans="2:14" x14ac:dyDescent="0.2">
      <c r="B83" s="131" t="s">
        <v>601</v>
      </c>
      <c r="C83" s="33" t="s">
        <v>602</v>
      </c>
      <c r="D83" s="1" t="s">
        <v>719</v>
      </c>
      <c r="E83" s="1" t="s">
        <v>76</v>
      </c>
      <c r="F83" s="1">
        <v>4</v>
      </c>
      <c r="G83" s="1">
        <v>3</v>
      </c>
      <c r="H83" s="1" t="s">
        <v>13</v>
      </c>
      <c r="M83" s="37"/>
      <c r="N83" s="36"/>
    </row>
    <row r="84" spans="2:14" x14ac:dyDescent="0.2">
      <c r="B84" s="4" t="s">
        <v>199</v>
      </c>
      <c r="C84" s="33" t="s">
        <v>200</v>
      </c>
      <c r="E84" s="1" t="s">
        <v>11</v>
      </c>
      <c r="F84" s="1">
        <v>2</v>
      </c>
      <c r="G84" s="1">
        <v>2</v>
      </c>
      <c r="H84" s="1" t="s">
        <v>13</v>
      </c>
      <c r="M84" s="37"/>
      <c r="N84" s="36"/>
    </row>
    <row r="85" spans="2:14" x14ac:dyDescent="0.2">
      <c r="B85" s="131" t="s">
        <v>603</v>
      </c>
      <c r="C85" s="33" t="s">
        <v>604</v>
      </c>
      <c r="D85" s="1">
        <v>1215</v>
      </c>
      <c r="E85" s="1" t="s">
        <v>11</v>
      </c>
      <c r="F85" s="1">
        <v>4</v>
      </c>
      <c r="G85" s="1">
        <v>4</v>
      </c>
      <c r="H85" s="1" t="s">
        <v>13</v>
      </c>
      <c r="M85" s="37"/>
      <c r="N85" s="36"/>
    </row>
    <row r="86" spans="2:14" x14ac:dyDescent="0.2">
      <c r="B86" s="134" t="s">
        <v>679</v>
      </c>
      <c r="C86" s="34" t="s">
        <v>680</v>
      </c>
      <c r="D86" s="35">
        <v>6865</v>
      </c>
      <c r="E86" s="35" t="s">
        <v>76</v>
      </c>
      <c r="F86" s="35">
        <v>3</v>
      </c>
      <c r="G86" s="35">
        <v>3</v>
      </c>
      <c r="H86" s="35" t="s">
        <v>10</v>
      </c>
      <c r="M86" s="37"/>
      <c r="N86" s="36"/>
    </row>
    <row r="87" spans="2:14" x14ac:dyDescent="0.2">
      <c r="B87" s="4"/>
      <c r="C87" s="33" t="s">
        <v>201</v>
      </c>
      <c r="E87" s="1" t="s">
        <v>30</v>
      </c>
      <c r="G87" s="1">
        <v>3</v>
      </c>
      <c r="H87" s="1" t="s">
        <v>13</v>
      </c>
      <c r="M87" s="37"/>
      <c r="N87" s="36"/>
    </row>
    <row r="88" spans="2:14" x14ac:dyDescent="0.2">
      <c r="B88" s="134" t="s">
        <v>674</v>
      </c>
      <c r="C88" s="34" t="s">
        <v>675</v>
      </c>
      <c r="D88" s="35"/>
      <c r="E88" s="132" t="s">
        <v>96</v>
      </c>
      <c r="F88" s="35">
        <v>1</v>
      </c>
      <c r="G88" s="35">
        <v>1</v>
      </c>
      <c r="H88" s="35" t="s">
        <v>13</v>
      </c>
      <c r="M88" s="37"/>
      <c r="N88" s="36"/>
    </row>
    <row r="89" spans="2:14" x14ac:dyDescent="0.2">
      <c r="B89" s="4" t="s">
        <v>202</v>
      </c>
      <c r="C89" s="33" t="s">
        <v>203</v>
      </c>
      <c r="D89" s="1">
        <v>2431</v>
      </c>
      <c r="E89" s="1" t="s">
        <v>11</v>
      </c>
      <c r="F89" s="1">
        <v>3</v>
      </c>
      <c r="G89" s="1">
        <v>3</v>
      </c>
      <c r="H89" s="1" t="s">
        <v>13</v>
      </c>
      <c r="M89" s="37"/>
      <c r="N89" s="36"/>
    </row>
    <row r="90" spans="2:14" x14ac:dyDescent="0.2">
      <c r="B90" s="4"/>
      <c r="C90" s="33" t="s">
        <v>204</v>
      </c>
      <c r="E90" s="1" t="s">
        <v>11</v>
      </c>
      <c r="G90" s="1">
        <v>4</v>
      </c>
      <c r="H90" s="1" t="s">
        <v>13</v>
      </c>
      <c r="M90" s="37"/>
      <c r="N90" s="36"/>
    </row>
    <row r="91" spans="2:14" x14ac:dyDescent="0.2">
      <c r="B91" s="130" t="s">
        <v>205</v>
      </c>
      <c r="C91" s="34" t="s">
        <v>206</v>
      </c>
      <c r="D91" s="35">
        <v>2539</v>
      </c>
      <c r="E91" s="35" t="s">
        <v>11</v>
      </c>
      <c r="F91" s="35">
        <v>4</v>
      </c>
      <c r="G91" s="35">
        <v>4</v>
      </c>
      <c r="H91" s="35" t="s">
        <v>13</v>
      </c>
      <c r="M91" s="37"/>
      <c r="N91" s="36"/>
    </row>
    <row r="92" spans="2:14" x14ac:dyDescent="0.2">
      <c r="B92" s="130" t="s">
        <v>207</v>
      </c>
      <c r="C92" s="34" t="s">
        <v>208</v>
      </c>
      <c r="D92" s="35">
        <v>5857</v>
      </c>
      <c r="E92" s="35" t="s">
        <v>11</v>
      </c>
      <c r="F92" s="35">
        <v>4</v>
      </c>
      <c r="G92" s="35">
        <v>4</v>
      </c>
      <c r="H92" s="35" t="s">
        <v>10</v>
      </c>
      <c r="M92" s="37"/>
      <c r="N92" s="36"/>
    </row>
    <row r="93" spans="2:14" x14ac:dyDescent="0.2">
      <c r="B93" s="130" t="s">
        <v>755</v>
      </c>
      <c r="C93" s="34" t="s">
        <v>756</v>
      </c>
      <c r="D93" s="35"/>
      <c r="E93" s="35" t="s">
        <v>11</v>
      </c>
      <c r="F93" s="35">
        <v>2</v>
      </c>
      <c r="G93" s="35">
        <v>2</v>
      </c>
      <c r="H93" s="35" t="s">
        <v>16</v>
      </c>
      <c r="M93" s="37"/>
      <c r="N93" s="36"/>
    </row>
    <row r="94" spans="2:14" x14ac:dyDescent="0.2">
      <c r="B94" s="131" t="s">
        <v>605</v>
      </c>
      <c r="C94" s="33" t="s">
        <v>606</v>
      </c>
      <c r="D94" s="1" t="s">
        <v>730</v>
      </c>
      <c r="E94" s="1" t="s">
        <v>58</v>
      </c>
      <c r="F94" s="1">
        <v>2</v>
      </c>
      <c r="G94" s="1">
        <v>2</v>
      </c>
      <c r="H94" s="124" t="s">
        <v>13</v>
      </c>
      <c r="M94" s="37"/>
      <c r="N94" s="36"/>
    </row>
    <row r="95" spans="2:14" x14ac:dyDescent="0.2">
      <c r="B95" s="4"/>
      <c r="C95" s="33" t="s">
        <v>209</v>
      </c>
      <c r="E95" s="1" t="s">
        <v>76</v>
      </c>
      <c r="H95" s="124" t="s">
        <v>13</v>
      </c>
      <c r="M95" s="37"/>
      <c r="N95" s="36"/>
    </row>
    <row r="96" spans="2:14" x14ac:dyDescent="0.2">
      <c r="B96" s="131" t="s">
        <v>518</v>
      </c>
      <c r="C96" s="33" t="s">
        <v>519</v>
      </c>
      <c r="E96" s="1" t="s">
        <v>11</v>
      </c>
      <c r="M96" s="37"/>
      <c r="N96" s="36"/>
    </row>
    <row r="97" spans="2:14" x14ac:dyDescent="0.2">
      <c r="B97" s="130" t="s">
        <v>666</v>
      </c>
      <c r="C97" s="34" t="s">
        <v>667</v>
      </c>
      <c r="D97" s="35"/>
      <c r="E97" s="35" t="s">
        <v>11</v>
      </c>
      <c r="F97" s="35">
        <v>3</v>
      </c>
      <c r="G97" s="35">
        <v>3</v>
      </c>
      <c r="H97" s="35" t="s">
        <v>13</v>
      </c>
      <c r="M97" s="37"/>
      <c r="N97" s="36"/>
    </row>
    <row r="98" spans="2:14" x14ac:dyDescent="0.2">
      <c r="B98" s="131" t="s">
        <v>210</v>
      </c>
      <c r="C98" s="33" t="s">
        <v>211</v>
      </c>
      <c r="D98" s="1">
        <v>1238</v>
      </c>
      <c r="E98" s="1" t="s">
        <v>11</v>
      </c>
      <c r="F98" s="1">
        <v>4</v>
      </c>
      <c r="G98" s="1">
        <v>4</v>
      </c>
      <c r="H98" s="1" t="s">
        <v>13</v>
      </c>
      <c r="M98" s="37"/>
      <c r="N98" s="36"/>
    </row>
    <row r="99" spans="2:14" x14ac:dyDescent="0.2">
      <c r="B99" s="4"/>
      <c r="C99" s="33" t="s">
        <v>212</v>
      </c>
      <c r="E99" s="1" t="s">
        <v>76</v>
      </c>
      <c r="H99" s="124" t="s">
        <v>16</v>
      </c>
      <c r="M99" s="37"/>
      <c r="N99" s="36"/>
    </row>
    <row r="100" spans="2:14" x14ac:dyDescent="0.2">
      <c r="B100" s="131" t="s">
        <v>607</v>
      </c>
      <c r="C100" s="33" t="s">
        <v>608</v>
      </c>
      <c r="D100" s="1">
        <v>2996</v>
      </c>
      <c r="E100" s="1" t="s">
        <v>30</v>
      </c>
      <c r="F100" s="1">
        <v>2</v>
      </c>
      <c r="G100" s="1">
        <v>2</v>
      </c>
      <c r="H100" s="1" t="s">
        <v>13</v>
      </c>
      <c r="M100" s="37"/>
      <c r="N100" s="36"/>
    </row>
    <row r="101" spans="2:14" x14ac:dyDescent="0.2">
      <c r="B101" s="130" t="s">
        <v>213</v>
      </c>
      <c r="C101" s="34" t="s">
        <v>214</v>
      </c>
      <c r="D101" s="35" t="s">
        <v>724</v>
      </c>
      <c r="E101" s="35" t="s">
        <v>76</v>
      </c>
      <c r="F101" s="35">
        <v>3</v>
      </c>
      <c r="G101" s="35">
        <v>2</v>
      </c>
      <c r="H101" s="35" t="s">
        <v>13</v>
      </c>
    </row>
    <row r="102" spans="2:14" x14ac:dyDescent="0.2">
      <c r="B102" s="4"/>
      <c r="C102" s="33" t="s">
        <v>215</v>
      </c>
      <c r="E102" s="1" t="s">
        <v>102</v>
      </c>
      <c r="H102" s="1" t="s">
        <v>13</v>
      </c>
    </row>
    <row r="103" spans="2:14" x14ac:dyDescent="0.2">
      <c r="B103" s="131" t="s">
        <v>520</v>
      </c>
      <c r="C103" s="33" t="s">
        <v>521</v>
      </c>
      <c r="E103" s="1"/>
    </row>
    <row r="104" spans="2:14" x14ac:dyDescent="0.2">
      <c r="B104" s="4" t="s">
        <v>216</v>
      </c>
      <c r="C104" s="33" t="s">
        <v>217</v>
      </c>
      <c r="D104" s="1">
        <v>1212</v>
      </c>
      <c r="E104" s="1" t="s">
        <v>11</v>
      </c>
      <c r="F104" s="1">
        <v>2</v>
      </c>
      <c r="G104" s="1">
        <v>1</v>
      </c>
      <c r="H104" s="1" t="s">
        <v>13</v>
      </c>
    </row>
    <row r="105" spans="2:14" x14ac:dyDescent="0.2">
      <c r="B105" s="131" t="s">
        <v>218</v>
      </c>
      <c r="C105" s="33" t="s">
        <v>219</v>
      </c>
      <c r="E105" s="1" t="s">
        <v>220</v>
      </c>
      <c r="F105" s="1">
        <v>1</v>
      </c>
      <c r="G105" s="1">
        <v>1</v>
      </c>
      <c r="H105" s="124" t="s">
        <v>13</v>
      </c>
    </row>
    <row r="106" spans="2:14" x14ac:dyDescent="0.2">
      <c r="B106" s="4" t="s">
        <v>221</v>
      </c>
      <c r="C106" s="33" t="s">
        <v>222</v>
      </c>
      <c r="D106" s="1" t="s">
        <v>727</v>
      </c>
      <c r="E106" s="1" t="s">
        <v>76</v>
      </c>
      <c r="F106" s="1">
        <v>2</v>
      </c>
      <c r="G106" s="1">
        <v>2</v>
      </c>
      <c r="H106" s="1" t="s">
        <v>13</v>
      </c>
    </row>
    <row r="107" spans="2:14" x14ac:dyDescent="0.2">
      <c r="B107" s="4"/>
      <c r="C107" s="33" t="s">
        <v>223</v>
      </c>
      <c r="E107" s="1" t="s">
        <v>110</v>
      </c>
      <c r="G107" s="1">
        <v>2</v>
      </c>
      <c r="H107" s="1" t="s">
        <v>13</v>
      </c>
    </row>
    <row r="108" spans="2:14" x14ac:dyDescent="0.2">
      <c r="B108" s="130" t="s">
        <v>670</v>
      </c>
      <c r="C108" s="34" t="s">
        <v>671</v>
      </c>
      <c r="D108" s="35">
        <v>5849</v>
      </c>
      <c r="E108" s="35" t="s">
        <v>11</v>
      </c>
      <c r="F108" s="35">
        <v>4</v>
      </c>
      <c r="G108" s="35">
        <v>4</v>
      </c>
      <c r="H108" s="35" t="s">
        <v>13</v>
      </c>
    </row>
    <row r="109" spans="2:14" x14ac:dyDescent="0.2">
      <c r="B109" s="4"/>
      <c r="C109" s="33" t="s">
        <v>224</v>
      </c>
      <c r="E109" s="1" t="s">
        <v>100</v>
      </c>
      <c r="G109" s="1">
        <v>2</v>
      </c>
      <c r="H109" s="124" t="s">
        <v>13</v>
      </c>
    </row>
    <row r="110" spans="2:14" x14ac:dyDescent="0.2">
      <c r="B110" s="4"/>
      <c r="C110" s="33" t="s">
        <v>225</v>
      </c>
      <c r="E110" s="1" t="s">
        <v>94</v>
      </c>
      <c r="G110" s="1">
        <v>2</v>
      </c>
      <c r="H110" s="1" t="s">
        <v>13</v>
      </c>
    </row>
    <row r="111" spans="2:14" x14ac:dyDescent="0.2">
      <c r="B111" s="131" t="s">
        <v>226</v>
      </c>
      <c r="C111" s="33" t="s">
        <v>227</v>
      </c>
      <c r="D111" s="1">
        <v>1212</v>
      </c>
      <c r="E111" s="1" t="s">
        <v>11</v>
      </c>
      <c r="F111" s="1">
        <v>3</v>
      </c>
      <c r="G111" s="1">
        <v>3</v>
      </c>
      <c r="H111" s="1" t="s">
        <v>13</v>
      </c>
    </row>
    <row r="112" spans="2:14" x14ac:dyDescent="0.2">
      <c r="B112" s="130" t="s">
        <v>228</v>
      </c>
      <c r="C112" s="34" t="s">
        <v>229</v>
      </c>
      <c r="D112" s="35">
        <v>1274</v>
      </c>
      <c r="E112" s="35" t="s">
        <v>11</v>
      </c>
      <c r="F112" s="35">
        <v>4</v>
      </c>
      <c r="G112" s="35">
        <v>4</v>
      </c>
      <c r="H112" s="35" t="s">
        <v>13</v>
      </c>
    </row>
    <row r="113" spans="2:8" x14ac:dyDescent="0.2">
      <c r="B113" s="131" t="s">
        <v>522</v>
      </c>
      <c r="C113" s="33" t="s">
        <v>523</v>
      </c>
      <c r="E113" s="1" t="s">
        <v>11</v>
      </c>
      <c r="F113" s="1">
        <v>4</v>
      </c>
      <c r="G113" s="1">
        <v>4</v>
      </c>
      <c r="H113" s="1" t="s">
        <v>13</v>
      </c>
    </row>
    <row r="114" spans="2:8" x14ac:dyDescent="0.2">
      <c r="B114" s="130" t="s">
        <v>524</v>
      </c>
      <c r="C114" s="34" t="s">
        <v>609</v>
      </c>
      <c r="D114" s="35"/>
      <c r="E114" s="35" t="s">
        <v>11</v>
      </c>
      <c r="F114" s="35">
        <v>2</v>
      </c>
      <c r="G114" s="35">
        <v>2</v>
      </c>
      <c r="H114" s="35" t="s">
        <v>16</v>
      </c>
    </row>
    <row r="115" spans="2:8" x14ac:dyDescent="0.2">
      <c r="B115" s="4" t="s">
        <v>230</v>
      </c>
      <c r="C115" s="33" t="s">
        <v>231</v>
      </c>
      <c r="E115" s="1" t="s">
        <v>11</v>
      </c>
      <c r="F115" s="1">
        <v>2</v>
      </c>
      <c r="G115" s="1">
        <v>2</v>
      </c>
      <c r="H115" s="1" t="s">
        <v>13</v>
      </c>
    </row>
    <row r="116" spans="2:8" x14ac:dyDescent="0.2">
      <c r="B116" s="131" t="s">
        <v>232</v>
      </c>
      <c r="C116" s="33" t="s">
        <v>233</v>
      </c>
      <c r="D116" s="1">
        <v>2460</v>
      </c>
      <c r="E116" s="1" t="s">
        <v>11</v>
      </c>
      <c r="F116" s="1">
        <v>3</v>
      </c>
      <c r="G116" s="1">
        <v>3</v>
      </c>
      <c r="H116" s="1" t="s">
        <v>13</v>
      </c>
    </row>
    <row r="117" spans="2:8" x14ac:dyDescent="0.2">
      <c r="B117" s="130" t="s">
        <v>234</v>
      </c>
      <c r="C117" s="34" t="s">
        <v>235</v>
      </c>
      <c r="D117" s="35">
        <v>5856</v>
      </c>
      <c r="E117" s="35" t="s">
        <v>11</v>
      </c>
      <c r="F117" s="35">
        <v>4</v>
      </c>
      <c r="G117" s="35">
        <v>4</v>
      </c>
      <c r="H117" s="35" t="s">
        <v>13</v>
      </c>
    </row>
    <row r="118" spans="2:8" x14ac:dyDescent="0.2">
      <c r="B118" s="131" t="s">
        <v>610</v>
      </c>
      <c r="C118" s="33" t="s">
        <v>611</v>
      </c>
      <c r="D118" s="1" t="s">
        <v>725</v>
      </c>
      <c r="E118" s="1" t="s">
        <v>76</v>
      </c>
      <c r="F118" s="1">
        <v>2</v>
      </c>
      <c r="G118" s="1">
        <v>2</v>
      </c>
      <c r="H118" s="1" t="s">
        <v>13</v>
      </c>
    </row>
    <row r="119" spans="2:8" x14ac:dyDescent="0.2">
      <c r="B119" s="130" t="s">
        <v>686</v>
      </c>
      <c r="C119" s="34" t="s">
        <v>687</v>
      </c>
      <c r="D119" s="35"/>
      <c r="E119" s="35" t="s">
        <v>11</v>
      </c>
      <c r="F119" s="35">
        <v>3</v>
      </c>
      <c r="G119" s="35">
        <v>3</v>
      </c>
      <c r="H119" s="35" t="s">
        <v>13</v>
      </c>
    </row>
    <row r="120" spans="2:8" x14ac:dyDescent="0.2">
      <c r="B120" s="4" t="s">
        <v>236</v>
      </c>
      <c r="C120" s="33" t="s">
        <v>237</v>
      </c>
      <c r="D120" s="1">
        <v>2302</v>
      </c>
      <c r="E120" s="1" t="s">
        <v>100</v>
      </c>
      <c r="F120" s="1">
        <v>2</v>
      </c>
      <c r="G120" s="1">
        <v>2</v>
      </c>
      <c r="H120" s="1" t="s">
        <v>13</v>
      </c>
    </row>
    <row r="121" spans="2:8" x14ac:dyDescent="0.2">
      <c r="B121" s="130" t="s">
        <v>750</v>
      </c>
      <c r="C121" s="34" t="s">
        <v>751</v>
      </c>
      <c r="D121" s="35"/>
      <c r="E121" s="35" t="s">
        <v>76</v>
      </c>
      <c r="F121" s="35">
        <v>2</v>
      </c>
      <c r="G121" s="35">
        <v>2</v>
      </c>
      <c r="H121" s="35" t="s">
        <v>13</v>
      </c>
    </row>
    <row r="122" spans="2:8" x14ac:dyDescent="0.2">
      <c r="B122" s="131" t="s">
        <v>525</v>
      </c>
      <c r="C122" s="33" t="s">
        <v>526</v>
      </c>
      <c r="E122" s="1" t="s">
        <v>11</v>
      </c>
    </row>
    <row r="123" spans="2:8" x14ac:dyDescent="0.2">
      <c r="B123" s="4" t="s">
        <v>527</v>
      </c>
      <c r="C123" s="33" t="s">
        <v>528</v>
      </c>
      <c r="E123" s="1" t="s">
        <v>11</v>
      </c>
      <c r="F123" s="1">
        <v>4</v>
      </c>
      <c r="G123" s="1">
        <v>4</v>
      </c>
      <c r="H123" s="1" t="s">
        <v>13</v>
      </c>
    </row>
    <row r="124" spans="2:8" x14ac:dyDescent="0.2">
      <c r="B124" s="4"/>
      <c r="C124" s="33" t="s">
        <v>238</v>
      </c>
      <c r="E124" s="1" t="s">
        <v>11</v>
      </c>
      <c r="G124" s="1">
        <v>4</v>
      </c>
      <c r="H124" s="1" t="s">
        <v>13</v>
      </c>
    </row>
    <row r="125" spans="2:8" x14ac:dyDescent="0.2">
      <c r="B125" s="4" t="s">
        <v>239</v>
      </c>
      <c r="C125" s="33" t="s">
        <v>240</v>
      </c>
      <c r="E125" s="1" t="s">
        <v>100</v>
      </c>
      <c r="F125" s="1">
        <v>2</v>
      </c>
      <c r="G125" s="1">
        <v>2</v>
      </c>
      <c r="H125" s="1" t="s">
        <v>13</v>
      </c>
    </row>
    <row r="126" spans="2:8" x14ac:dyDescent="0.2">
      <c r="B126" s="4"/>
      <c r="C126" s="33" t="s">
        <v>241</v>
      </c>
      <c r="E126" s="1" t="s">
        <v>94</v>
      </c>
      <c r="G126" s="1">
        <v>1</v>
      </c>
      <c r="H126" s="1" t="s">
        <v>13</v>
      </c>
    </row>
    <row r="127" spans="2:8" x14ac:dyDescent="0.2">
      <c r="B127" s="131" t="s">
        <v>242</v>
      </c>
      <c r="C127" s="33" t="s">
        <v>243</v>
      </c>
      <c r="D127" s="1">
        <v>2945</v>
      </c>
      <c r="E127" s="1" t="s">
        <v>94</v>
      </c>
      <c r="F127" s="1">
        <v>4</v>
      </c>
      <c r="G127" s="1">
        <v>4</v>
      </c>
      <c r="H127" s="124" t="s">
        <v>13</v>
      </c>
    </row>
    <row r="128" spans="2:8" x14ac:dyDescent="0.2">
      <c r="B128" s="130" t="s">
        <v>664</v>
      </c>
      <c r="C128" s="34" t="s">
        <v>665</v>
      </c>
      <c r="D128" s="35"/>
      <c r="E128" s="35" t="s">
        <v>11</v>
      </c>
      <c r="F128" s="35">
        <v>4</v>
      </c>
      <c r="G128" s="35">
        <v>4</v>
      </c>
      <c r="H128" s="35" t="s">
        <v>13</v>
      </c>
    </row>
    <row r="129" spans="2:8" x14ac:dyDescent="0.2">
      <c r="B129" s="4" t="s">
        <v>612</v>
      </c>
      <c r="C129" s="33" t="s">
        <v>613</v>
      </c>
      <c r="D129" s="1">
        <v>3049</v>
      </c>
      <c r="E129" s="1" t="s">
        <v>102</v>
      </c>
      <c r="F129" s="1">
        <v>3</v>
      </c>
      <c r="G129" s="1">
        <v>3</v>
      </c>
      <c r="H129" s="1" t="s">
        <v>13</v>
      </c>
    </row>
    <row r="130" spans="2:8" x14ac:dyDescent="0.2">
      <c r="B130" s="131" t="s">
        <v>614</v>
      </c>
      <c r="C130" s="33" t="s">
        <v>615</v>
      </c>
      <c r="D130" s="1">
        <v>2817</v>
      </c>
      <c r="E130" s="1" t="s">
        <v>94</v>
      </c>
      <c r="F130" s="1">
        <v>3</v>
      </c>
      <c r="G130" s="1">
        <v>3</v>
      </c>
      <c r="H130" s="1" t="s">
        <v>13</v>
      </c>
    </row>
    <row r="131" spans="2:8" x14ac:dyDescent="0.2">
      <c r="B131" s="4"/>
      <c r="C131" s="33" t="s">
        <v>244</v>
      </c>
      <c r="E131" s="1" t="s">
        <v>76</v>
      </c>
      <c r="H131" s="1" t="s">
        <v>13</v>
      </c>
    </row>
    <row r="132" spans="2:8" x14ac:dyDescent="0.2">
      <c r="B132" s="131" t="s">
        <v>245</v>
      </c>
      <c r="C132" s="33" t="s">
        <v>246</v>
      </c>
      <c r="E132" s="1" t="s">
        <v>11</v>
      </c>
      <c r="F132" s="1">
        <v>4</v>
      </c>
      <c r="G132" s="1">
        <v>4</v>
      </c>
      <c r="H132" s="1" t="s">
        <v>13</v>
      </c>
    </row>
    <row r="133" spans="2:8" x14ac:dyDescent="0.2">
      <c r="B133" s="131" t="s">
        <v>247</v>
      </c>
      <c r="C133" s="33" t="s">
        <v>248</v>
      </c>
      <c r="D133" s="1">
        <v>1281</v>
      </c>
      <c r="E133" s="1" t="s">
        <v>11</v>
      </c>
      <c r="F133" s="1">
        <v>2</v>
      </c>
      <c r="G133" s="1">
        <v>2</v>
      </c>
      <c r="H133" s="1" t="s">
        <v>13</v>
      </c>
    </row>
    <row r="134" spans="2:8" x14ac:dyDescent="0.2">
      <c r="B134" s="131" t="s">
        <v>616</v>
      </c>
      <c r="C134" s="33" t="s">
        <v>617</v>
      </c>
      <c r="D134" s="1">
        <v>1270</v>
      </c>
      <c r="E134" s="1" t="s">
        <v>11</v>
      </c>
      <c r="F134" s="1">
        <v>4</v>
      </c>
      <c r="G134" s="1">
        <v>4</v>
      </c>
      <c r="H134" s="1" t="s">
        <v>13</v>
      </c>
    </row>
    <row r="135" spans="2:8" x14ac:dyDescent="0.2">
      <c r="B135" s="131" t="s">
        <v>529</v>
      </c>
      <c r="C135" s="33" t="s">
        <v>754</v>
      </c>
      <c r="E135" s="1" t="s">
        <v>11</v>
      </c>
    </row>
    <row r="136" spans="2:8" x14ac:dyDescent="0.2">
      <c r="B136" s="131" t="s">
        <v>249</v>
      </c>
      <c r="C136" s="33" t="s">
        <v>250</v>
      </c>
      <c r="D136" s="1">
        <v>3156</v>
      </c>
      <c r="E136" s="1" t="s">
        <v>102</v>
      </c>
      <c r="F136" s="1">
        <v>3</v>
      </c>
      <c r="G136" s="1">
        <v>3</v>
      </c>
      <c r="H136" s="1" t="s">
        <v>10</v>
      </c>
    </row>
    <row r="137" spans="2:8" x14ac:dyDescent="0.2">
      <c r="B137" s="4" t="s">
        <v>251</v>
      </c>
      <c r="C137" s="33" t="s">
        <v>252</v>
      </c>
      <c r="E137" s="1" t="s">
        <v>11</v>
      </c>
      <c r="F137" s="1">
        <v>3</v>
      </c>
      <c r="G137" s="1">
        <v>3</v>
      </c>
      <c r="H137" s="124" t="s">
        <v>13</v>
      </c>
    </row>
    <row r="138" spans="2:8" x14ac:dyDescent="0.2">
      <c r="B138" s="130" t="s">
        <v>253</v>
      </c>
      <c r="C138" s="34" t="s">
        <v>254</v>
      </c>
      <c r="D138" s="35">
        <v>5855</v>
      </c>
      <c r="E138" s="35" t="s">
        <v>11</v>
      </c>
      <c r="F138" s="35">
        <v>4</v>
      </c>
      <c r="G138" s="35">
        <v>4</v>
      </c>
      <c r="H138" s="128" t="s">
        <v>13</v>
      </c>
    </row>
    <row r="139" spans="2:8" x14ac:dyDescent="0.2">
      <c r="B139" s="131" t="s">
        <v>530</v>
      </c>
      <c r="C139" s="33" t="s">
        <v>531</v>
      </c>
      <c r="E139" s="1" t="s">
        <v>11</v>
      </c>
      <c r="F139" s="1">
        <v>2</v>
      </c>
      <c r="G139" s="1">
        <v>2</v>
      </c>
      <c r="H139" s="1" t="s">
        <v>13</v>
      </c>
    </row>
    <row r="140" spans="2:8" x14ac:dyDescent="0.2">
      <c r="B140" s="131" t="s">
        <v>618</v>
      </c>
      <c r="C140" s="33" t="s">
        <v>619</v>
      </c>
      <c r="E140" s="1" t="s">
        <v>46</v>
      </c>
      <c r="F140" s="1">
        <v>3</v>
      </c>
      <c r="G140" s="1">
        <v>3</v>
      </c>
      <c r="H140" s="1" t="s">
        <v>13</v>
      </c>
    </row>
    <row r="141" spans="2:8" x14ac:dyDescent="0.2">
      <c r="B141" s="4" t="s">
        <v>255</v>
      </c>
      <c r="C141" s="33" t="s">
        <v>256</v>
      </c>
      <c r="D141" s="1">
        <v>2294</v>
      </c>
      <c r="E141" s="1" t="s">
        <v>100</v>
      </c>
      <c r="F141" s="1">
        <v>2</v>
      </c>
      <c r="G141" s="1">
        <v>2</v>
      </c>
      <c r="H141" s="124" t="s">
        <v>13</v>
      </c>
    </row>
    <row r="142" spans="2:8" x14ac:dyDescent="0.2">
      <c r="B142" s="4"/>
      <c r="C142" s="33" t="s">
        <v>257</v>
      </c>
      <c r="E142" s="1" t="s">
        <v>70</v>
      </c>
      <c r="G142" s="1">
        <v>4</v>
      </c>
      <c r="H142" s="1" t="s">
        <v>13</v>
      </c>
    </row>
    <row r="143" spans="2:8" x14ac:dyDescent="0.2">
      <c r="B143" s="4"/>
      <c r="C143" s="33" t="s">
        <v>258</v>
      </c>
      <c r="E143" s="1" t="s">
        <v>70</v>
      </c>
      <c r="G143" s="1">
        <v>4</v>
      </c>
      <c r="H143" s="1" t="s">
        <v>13</v>
      </c>
    </row>
    <row r="144" spans="2:8" x14ac:dyDescent="0.2">
      <c r="B144" s="4" t="s">
        <v>260</v>
      </c>
      <c r="C144" s="33" t="s">
        <v>261</v>
      </c>
      <c r="E144" s="1" t="s">
        <v>14</v>
      </c>
      <c r="F144" s="1">
        <v>4</v>
      </c>
      <c r="G144" s="1">
        <v>4</v>
      </c>
      <c r="H144" s="1" t="s">
        <v>13</v>
      </c>
    </row>
    <row r="145" spans="2:8" x14ac:dyDescent="0.2">
      <c r="B145" s="131" t="s">
        <v>259</v>
      </c>
      <c r="C145" s="33" t="s">
        <v>668</v>
      </c>
      <c r="D145" s="1">
        <v>1239</v>
      </c>
      <c r="E145" s="1" t="s">
        <v>11</v>
      </c>
      <c r="F145" s="1">
        <v>4</v>
      </c>
      <c r="G145" s="1">
        <v>4</v>
      </c>
      <c r="H145" s="1" t="s">
        <v>13</v>
      </c>
    </row>
    <row r="146" spans="2:8" x14ac:dyDescent="0.2">
      <c r="B146" s="4"/>
      <c r="C146" s="33" t="s">
        <v>262</v>
      </c>
      <c r="E146" s="1" t="s">
        <v>30</v>
      </c>
      <c r="H146" s="1" t="s">
        <v>13</v>
      </c>
    </row>
    <row r="147" spans="2:8" x14ac:dyDescent="0.2">
      <c r="B147" s="4" t="s">
        <v>620</v>
      </c>
      <c r="C147" s="33" t="s">
        <v>263</v>
      </c>
      <c r="E147" s="1" t="s">
        <v>76</v>
      </c>
      <c r="F147" s="1">
        <v>2</v>
      </c>
      <c r="H147" s="124" t="s">
        <v>16</v>
      </c>
    </row>
    <row r="148" spans="2:8" x14ac:dyDescent="0.2">
      <c r="B148" s="4" t="s">
        <v>621</v>
      </c>
      <c r="C148" s="33" t="s">
        <v>264</v>
      </c>
      <c r="E148" s="1" t="s">
        <v>46</v>
      </c>
      <c r="F148" s="1">
        <v>3</v>
      </c>
      <c r="H148" s="1" t="s">
        <v>16</v>
      </c>
    </row>
    <row r="149" spans="2:8" x14ac:dyDescent="0.2">
      <c r="B149" s="131" t="s">
        <v>532</v>
      </c>
      <c r="C149" s="33" t="s">
        <v>533</v>
      </c>
      <c r="E149" s="1" t="s">
        <v>11</v>
      </c>
    </row>
    <row r="150" spans="2:8" x14ac:dyDescent="0.2">
      <c r="B150" s="131" t="s">
        <v>622</v>
      </c>
      <c r="C150" s="33" t="s">
        <v>623</v>
      </c>
      <c r="E150" s="1" t="s">
        <v>20</v>
      </c>
      <c r="F150" s="1">
        <v>1</v>
      </c>
      <c r="G150" s="1">
        <v>1</v>
      </c>
      <c r="H150" s="1" t="s">
        <v>13</v>
      </c>
    </row>
    <row r="151" spans="2:8" x14ac:dyDescent="0.2">
      <c r="B151" s="130" t="s">
        <v>746</v>
      </c>
      <c r="C151" s="34" t="s">
        <v>747</v>
      </c>
      <c r="D151" s="35">
        <v>2332</v>
      </c>
      <c r="E151" s="35" t="s">
        <v>100</v>
      </c>
      <c r="F151" s="35">
        <v>2</v>
      </c>
      <c r="G151" s="35">
        <v>2</v>
      </c>
      <c r="H151" s="35" t="s">
        <v>13</v>
      </c>
    </row>
    <row r="152" spans="2:8" x14ac:dyDescent="0.2">
      <c r="B152" s="4" t="s">
        <v>669</v>
      </c>
      <c r="C152" s="33" t="s">
        <v>265</v>
      </c>
      <c r="E152" s="1" t="s">
        <v>76</v>
      </c>
      <c r="F152" s="1">
        <v>3</v>
      </c>
      <c r="H152" s="1" t="s">
        <v>13</v>
      </c>
    </row>
    <row r="153" spans="2:8" x14ac:dyDescent="0.2">
      <c r="B153" s="4"/>
      <c r="C153" s="33" t="s">
        <v>266</v>
      </c>
      <c r="E153" s="1" t="s">
        <v>76</v>
      </c>
      <c r="H153" s="1" t="s">
        <v>13</v>
      </c>
    </row>
    <row r="154" spans="2:8" x14ac:dyDescent="0.2">
      <c r="B154" s="4" t="s">
        <v>267</v>
      </c>
      <c r="C154" s="33" t="s">
        <v>268</v>
      </c>
      <c r="D154" s="1">
        <v>1215</v>
      </c>
      <c r="E154" s="1" t="s">
        <v>11</v>
      </c>
      <c r="F154" s="1">
        <v>2</v>
      </c>
      <c r="G154" s="1">
        <v>1</v>
      </c>
      <c r="H154" s="1" t="s">
        <v>13</v>
      </c>
    </row>
    <row r="155" spans="2:8" x14ac:dyDescent="0.2">
      <c r="B155" s="130" t="s">
        <v>269</v>
      </c>
      <c r="C155" s="34" t="s">
        <v>270</v>
      </c>
      <c r="D155" s="35" t="s">
        <v>710</v>
      </c>
      <c r="E155" s="35" t="s">
        <v>76</v>
      </c>
      <c r="F155" s="35">
        <v>2</v>
      </c>
      <c r="G155" s="35">
        <v>2</v>
      </c>
      <c r="H155" s="35" t="s">
        <v>13</v>
      </c>
    </row>
    <row r="156" spans="2:8" x14ac:dyDescent="0.2">
      <c r="B156" s="131" t="s">
        <v>534</v>
      </c>
      <c r="C156" s="33" t="s">
        <v>535</v>
      </c>
      <c r="E156" s="1" t="s">
        <v>11</v>
      </c>
    </row>
    <row r="157" spans="2:8" x14ac:dyDescent="0.2">
      <c r="B157" s="130" t="s">
        <v>271</v>
      </c>
      <c r="C157" s="34" t="s">
        <v>272</v>
      </c>
      <c r="D157" s="35" t="s">
        <v>709</v>
      </c>
      <c r="E157" s="35" t="s">
        <v>0</v>
      </c>
      <c r="F157" s="35">
        <v>3</v>
      </c>
      <c r="G157" s="35">
        <v>3</v>
      </c>
      <c r="H157" s="35" t="s">
        <v>16</v>
      </c>
    </row>
    <row r="158" spans="2:8" x14ac:dyDescent="0.2">
      <c r="B158" s="4" t="s">
        <v>681</v>
      </c>
      <c r="C158" s="33" t="s">
        <v>273</v>
      </c>
      <c r="D158" s="1">
        <v>1289</v>
      </c>
      <c r="E158" s="1" t="s">
        <v>70</v>
      </c>
      <c r="F158" s="1">
        <v>2</v>
      </c>
      <c r="G158" s="1">
        <v>2</v>
      </c>
      <c r="H158" s="1" t="s">
        <v>13</v>
      </c>
    </row>
    <row r="159" spans="2:8" x14ac:dyDescent="0.2">
      <c r="B159" s="4" t="s">
        <v>274</v>
      </c>
      <c r="C159" s="33" t="s">
        <v>275</v>
      </c>
      <c r="E159" s="1" t="s">
        <v>70</v>
      </c>
      <c r="F159" s="1">
        <v>1</v>
      </c>
      <c r="G159" s="1">
        <v>1</v>
      </c>
      <c r="H159" s="1" t="s">
        <v>13</v>
      </c>
    </row>
    <row r="160" spans="2:8" x14ac:dyDescent="0.2">
      <c r="B160" s="131" t="s">
        <v>276</v>
      </c>
      <c r="C160" s="33" t="s">
        <v>624</v>
      </c>
      <c r="D160" s="1">
        <v>249</v>
      </c>
      <c r="E160" s="1" t="s">
        <v>100</v>
      </c>
      <c r="F160" s="1">
        <v>2</v>
      </c>
      <c r="G160" s="1">
        <v>2</v>
      </c>
      <c r="H160" s="1" t="s">
        <v>13</v>
      </c>
    </row>
    <row r="161" spans="2:8" x14ac:dyDescent="0.2">
      <c r="B161" s="4" t="s">
        <v>278</v>
      </c>
      <c r="C161" s="33" t="s">
        <v>279</v>
      </c>
      <c r="D161" s="1" t="s">
        <v>711</v>
      </c>
      <c r="E161" s="1" t="s">
        <v>0</v>
      </c>
      <c r="F161" s="1">
        <v>4</v>
      </c>
      <c r="G161" s="1">
        <v>3</v>
      </c>
      <c r="H161" s="1" t="s">
        <v>13</v>
      </c>
    </row>
    <row r="162" spans="2:8" x14ac:dyDescent="0.2">
      <c r="B162" s="131" t="s">
        <v>625</v>
      </c>
      <c r="C162" s="33" t="s">
        <v>626</v>
      </c>
      <c r="D162" s="1">
        <v>3964</v>
      </c>
      <c r="E162" s="1" t="s">
        <v>46</v>
      </c>
      <c r="F162" s="1">
        <v>3</v>
      </c>
      <c r="G162" s="1">
        <v>2</v>
      </c>
      <c r="H162" s="1" t="s">
        <v>13</v>
      </c>
    </row>
    <row r="163" spans="2:8" x14ac:dyDescent="0.2">
      <c r="B163" s="4"/>
      <c r="C163" s="33" t="s">
        <v>280</v>
      </c>
      <c r="E163" s="1" t="s">
        <v>34</v>
      </c>
      <c r="G163" s="1">
        <v>3</v>
      </c>
      <c r="H163" s="1" t="s">
        <v>13</v>
      </c>
    </row>
    <row r="164" spans="2:8" x14ac:dyDescent="0.2">
      <c r="B164" s="131" t="s">
        <v>536</v>
      </c>
      <c r="C164" s="33" t="s">
        <v>537</v>
      </c>
      <c r="E164" s="1" t="s">
        <v>11</v>
      </c>
    </row>
    <row r="165" spans="2:8" x14ac:dyDescent="0.2">
      <c r="B165" s="4" t="s">
        <v>627</v>
      </c>
      <c r="C165" s="33" t="s">
        <v>628</v>
      </c>
      <c r="E165" s="1" t="s">
        <v>46</v>
      </c>
      <c r="F165" s="1">
        <v>4</v>
      </c>
      <c r="G165" s="1">
        <v>3</v>
      </c>
      <c r="H165" s="1" t="s">
        <v>16</v>
      </c>
    </row>
    <row r="166" spans="2:8" x14ac:dyDescent="0.2">
      <c r="B166" s="4" t="s">
        <v>281</v>
      </c>
      <c r="C166" s="33" t="s">
        <v>282</v>
      </c>
      <c r="D166" s="1">
        <v>2373</v>
      </c>
      <c r="E166" s="1" t="s">
        <v>36</v>
      </c>
      <c r="F166" s="1">
        <v>2</v>
      </c>
      <c r="G166" s="1">
        <v>2</v>
      </c>
      <c r="H166" s="1" t="s">
        <v>16</v>
      </c>
    </row>
    <row r="167" spans="2:8" x14ac:dyDescent="0.2">
      <c r="B167" s="131" t="s">
        <v>276</v>
      </c>
      <c r="C167" s="33" t="s">
        <v>538</v>
      </c>
      <c r="D167" s="1">
        <v>249</v>
      </c>
      <c r="E167" s="1" t="s">
        <v>100</v>
      </c>
      <c r="F167" s="1">
        <v>2</v>
      </c>
      <c r="G167" s="1">
        <v>2</v>
      </c>
      <c r="H167" s="124" t="s">
        <v>13</v>
      </c>
    </row>
    <row r="168" spans="2:8" x14ac:dyDescent="0.2">
      <c r="B168" s="4" t="s">
        <v>283</v>
      </c>
      <c r="C168" s="33" t="s">
        <v>284</v>
      </c>
      <c r="D168" s="1">
        <v>2386</v>
      </c>
      <c r="E168" s="1" t="s">
        <v>36</v>
      </c>
      <c r="F168" s="1">
        <v>4</v>
      </c>
      <c r="G168" s="1">
        <v>4</v>
      </c>
      <c r="H168" s="124" t="s">
        <v>16</v>
      </c>
    </row>
    <row r="169" spans="2:8" x14ac:dyDescent="0.2">
      <c r="B169" s="131" t="s">
        <v>539</v>
      </c>
      <c r="C169" s="33" t="s">
        <v>540</v>
      </c>
      <c r="E169" s="1" t="s">
        <v>11</v>
      </c>
    </row>
    <row r="170" spans="2:8" x14ac:dyDescent="0.2">
      <c r="B170" s="4"/>
      <c r="C170" s="33" t="s">
        <v>285</v>
      </c>
      <c r="E170" s="1" t="s">
        <v>76</v>
      </c>
      <c r="H170" s="1" t="s">
        <v>16</v>
      </c>
    </row>
    <row r="171" spans="2:8" x14ac:dyDescent="0.2">
      <c r="B171" s="4"/>
      <c r="C171" s="33" t="s">
        <v>286</v>
      </c>
      <c r="E171" s="1" t="s">
        <v>80</v>
      </c>
      <c r="G171" s="1">
        <v>3</v>
      </c>
      <c r="H171" s="1" t="s">
        <v>13</v>
      </c>
    </row>
    <row r="172" spans="2:8" x14ac:dyDescent="0.2">
      <c r="B172" s="4" t="s">
        <v>629</v>
      </c>
      <c r="C172" s="33" t="s">
        <v>287</v>
      </c>
      <c r="E172" s="1" t="s">
        <v>80</v>
      </c>
      <c r="F172" s="1">
        <v>2</v>
      </c>
      <c r="G172" s="1">
        <v>2</v>
      </c>
      <c r="H172" s="1" t="s">
        <v>13</v>
      </c>
    </row>
    <row r="173" spans="2:8" x14ac:dyDescent="0.2">
      <c r="B173" s="4"/>
      <c r="C173" s="33" t="s">
        <v>288</v>
      </c>
      <c r="E173" s="1" t="s">
        <v>34</v>
      </c>
      <c r="G173" s="1">
        <v>2</v>
      </c>
      <c r="H173" s="1" t="s">
        <v>16</v>
      </c>
    </row>
    <row r="174" spans="2:8" x14ac:dyDescent="0.2">
      <c r="B174" s="4"/>
      <c r="C174" s="33" t="s">
        <v>289</v>
      </c>
      <c r="E174" s="1" t="s">
        <v>46</v>
      </c>
      <c r="H174" s="1" t="s">
        <v>13</v>
      </c>
    </row>
    <row r="175" spans="2:8" x14ac:dyDescent="0.2">
      <c r="B175" s="131" t="s">
        <v>277</v>
      </c>
      <c r="C175" s="33" t="s">
        <v>290</v>
      </c>
      <c r="E175" s="1" t="s">
        <v>11</v>
      </c>
      <c r="F175" s="1">
        <v>3</v>
      </c>
      <c r="G175" s="1">
        <v>3</v>
      </c>
      <c r="H175" s="1" t="s">
        <v>13</v>
      </c>
    </row>
    <row r="176" spans="2:8" x14ac:dyDescent="0.2">
      <c r="B176" s="4" t="s">
        <v>291</v>
      </c>
      <c r="C176" s="33" t="s">
        <v>541</v>
      </c>
      <c r="D176" s="1">
        <v>2450</v>
      </c>
      <c r="E176" s="1" t="s">
        <v>11</v>
      </c>
      <c r="F176" s="1">
        <v>3</v>
      </c>
      <c r="G176" s="1">
        <v>3</v>
      </c>
      <c r="H176" s="1" t="s">
        <v>13</v>
      </c>
    </row>
    <row r="177" spans="2:8" x14ac:dyDescent="0.2">
      <c r="B177" s="130" t="s">
        <v>706</v>
      </c>
      <c r="C177" s="34" t="s">
        <v>708</v>
      </c>
      <c r="D177" s="35" t="s">
        <v>707</v>
      </c>
      <c r="E177" s="35" t="s">
        <v>0</v>
      </c>
      <c r="F177" s="35">
        <v>2</v>
      </c>
      <c r="G177" s="35">
        <v>2</v>
      </c>
      <c r="H177" s="35" t="s">
        <v>10</v>
      </c>
    </row>
    <row r="178" spans="2:8" x14ac:dyDescent="0.2">
      <c r="B178" s="4"/>
      <c r="C178" s="33" t="s">
        <v>292</v>
      </c>
      <c r="E178" s="1" t="s">
        <v>102</v>
      </c>
      <c r="H178" s="1" t="s">
        <v>13</v>
      </c>
    </row>
    <row r="179" spans="2:8" x14ac:dyDescent="0.2">
      <c r="B179" s="4"/>
      <c r="C179" s="33" t="s">
        <v>293</v>
      </c>
      <c r="E179" s="1" t="s">
        <v>80</v>
      </c>
      <c r="G179" s="1">
        <v>3</v>
      </c>
      <c r="H179" s="1" t="s">
        <v>13</v>
      </c>
    </row>
    <row r="180" spans="2:8" x14ac:dyDescent="0.2">
      <c r="B180" s="131" t="s">
        <v>294</v>
      </c>
      <c r="C180" s="33" t="s">
        <v>295</v>
      </c>
      <c r="D180" s="1">
        <v>2432</v>
      </c>
      <c r="E180" s="1" t="s">
        <v>11</v>
      </c>
      <c r="F180" s="1">
        <v>3</v>
      </c>
      <c r="G180" s="1">
        <v>3</v>
      </c>
      <c r="H180" s="1" t="s">
        <v>13</v>
      </c>
    </row>
    <row r="181" spans="2:8" x14ac:dyDescent="0.2">
      <c r="B181" s="131" t="s">
        <v>542</v>
      </c>
      <c r="C181" s="33" t="s">
        <v>543</v>
      </c>
      <c r="E181" s="1" t="s">
        <v>11</v>
      </c>
    </row>
    <row r="182" spans="2:8" x14ac:dyDescent="0.2">
      <c r="B182" s="4" t="s">
        <v>630</v>
      </c>
      <c r="C182" s="33" t="s">
        <v>296</v>
      </c>
      <c r="E182" s="1" t="s">
        <v>36</v>
      </c>
      <c r="F182" s="1">
        <v>1</v>
      </c>
      <c r="G182" s="1">
        <v>1</v>
      </c>
      <c r="H182" s="1" t="s">
        <v>13</v>
      </c>
    </row>
    <row r="183" spans="2:8" x14ac:dyDescent="0.2">
      <c r="B183" s="131" t="s">
        <v>297</v>
      </c>
      <c r="C183" s="33" t="s">
        <v>298</v>
      </c>
      <c r="D183" s="1">
        <v>79</v>
      </c>
      <c r="E183" s="1" t="s">
        <v>40</v>
      </c>
      <c r="F183" s="1">
        <v>3</v>
      </c>
      <c r="G183" s="1">
        <v>3</v>
      </c>
      <c r="H183" s="1" t="s">
        <v>13</v>
      </c>
    </row>
    <row r="184" spans="2:8" x14ac:dyDescent="0.2">
      <c r="B184" s="131" t="s">
        <v>299</v>
      </c>
      <c r="C184" s="33" t="s">
        <v>300</v>
      </c>
      <c r="D184" s="1" t="s">
        <v>716</v>
      </c>
      <c r="E184" s="1" t="s">
        <v>76</v>
      </c>
      <c r="F184" s="1">
        <v>3</v>
      </c>
      <c r="G184" s="1">
        <v>3</v>
      </c>
      <c r="H184" s="1" t="s">
        <v>16</v>
      </c>
    </row>
    <row r="185" spans="2:8" x14ac:dyDescent="0.2">
      <c r="B185" s="4" t="s">
        <v>631</v>
      </c>
      <c r="C185" t="s">
        <v>301</v>
      </c>
      <c r="D185" s="1">
        <v>49</v>
      </c>
      <c r="E185" s="1" t="s">
        <v>40</v>
      </c>
      <c r="F185" s="1">
        <v>3</v>
      </c>
      <c r="G185" s="1">
        <v>3</v>
      </c>
      <c r="H185" s="1" t="s">
        <v>16</v>
      </c>
    </row>
    <row r="186" spans="2:8" x14ac:dyDescent="0.2">
      <c r="B186" s="131" t="s">
        <v>302</v>
      </c>
      <c r="C186" s="33" t="s">
        <v>303</v>
      </c>
      <c r="D186" s="1">
        <v>1285</v>
      </c>
      <c r="E186" s="1" t="s">
        <v>11</v>
      </c>
      <c r="F186" s="1">
        <v>3</v>
      </c>
      <c r="G186" s="1">
        <v>3</v>
      </c>
      <c r="H186" s="1" t="s">
        <v>13</v>
      </c>
    </row>
    <row r="187" spans="2:8" x14ac:dyDescent="0.2">
      <c r="B187" s="131" t="s">
        <v>544</v>
      </c>
      <c r="C187" s="33" t="s">
        <v>545</v>
      </c>
      <c r="E187" s="1" t="s">
        <v>11</v>
      </c>
    </row>
    <row r="188" spans="2:8" x14ac:dyDescent="0.2">
      <c r="B188" s="4" t="s">
        <v>632</v>
      </c>
      <c r="C188" t="s">
        <v>633</v>
      </c>
      <c r="D188" s="1">
        <v>2588</v>
      </c>
      <c r="E188" s="1" t="s">
        <v>94</v>
      </c>
      <c r="F188" s="1">
        <v>2</v>
      </c>
      <c r="G188" s="1">
        <v>2</v>
      </c>
      <c r="H188" s="1" t="s">
        <v>13</v>
      </c>
    </row>
    <row r="189" spans="2:8" x14ac:dyDescent="0.2">
      <c r="B189" s="4"/>
      <c r="C189" s="33" t="s">
        <v>304</v>
      </c>
      <c r="E189" s="1" t="s">
        <v>110</v>
      </c>
      <c r="G189" s="1">
        <v>2</v>
      </c>
      <c r="H189" s="1" t="s">
        <v>13</v>
      </c>
    </row>
    <row r="190" spans="2:8" x14ac:dyDescent="0.2">
      <c r="B190" s="131" t="s">
        <v>546</v>
      </c>
      <c r="C190" s="33" t="s">
        <v>547</v>
      </c>
      <c r="E190" s="1" t="s">
        <v>11</v>
      </c>
    </row>
    <row r="191" spans="2:8" x14ac:dyDescent="0.2">
      <c r="B191" s="131" t="s">
        <v>634</v>
      </c>
      <c r="C191" s="33" t="s">
        <v>635</v>
      </c>
      <c r="D191" s="1" t="s">
        <v>636</v>
      </c>
      <c r="E191" s="1" t="s">
        <v>0</v>
      </c>
      <c r="F191" s="1">
        <v>3</v>
      </c>
      <c r="G191" s="1">
        <v>2</v>
      </c>
      <c r="H191" s="1" t="s">
        <v>13</v>
      </c>
    </row>
    <row r="192" spans="2:8" x14ac:dyDescent="0.2">
      <c r="B192" s="131" t="s">
        <v>548</v>
      </c>
      <c r="C192" s="33" t="s">
        <v>305</v>
      </c>
      <c r="E192" s="1" t="s">
        <v>11</v>
      </c>
      <c r="F192" s="1">
        <v>2</v>
      </c>
      <c r="G192" s="1">
        <v>2</v>
      </c>
      <c r="H192" s="1" t="s">
        <v>13</v>
      </c>
    </row>
    <row r="193" spans="2:8" x14ac:dyDescent="0.2">
      <c r="B193" s="4" t="s">
        <v>306</v>
      </c>
      <c r="C193" s="33" t="s">
        <v>307</v>
      </c>
      <c r="E193" s="1" t="s">
        <v>11</v>
      </c>
      <c r="F193" s="1">
        <v>2</v>
      </c>
      <c r="G193" s="1">
        <v>2</v>
      </c>
      <c r="H193" s="1" t="s">
        <v>13</v>
      </c>
    </row>
    <row r="194" spans="2:8" x14ac:dyDescent="0.2">
      <c r="B194" s="131" t="s">
        <v>308</v>
      </c>
      <c r="C194" s="33" t="s">
        <v>309</v>
      </c>
      <c r="D194" s="1">
        <v>2536</v>
      </c>
      <c r="E194" s="1" t="s">
        <v>11</v>
      </c>
      <c r="F194" s="1">
        <v>2</v>
      </c>
      <c r="G194" s="1">
        <v>2</v>
      </c>
      <c r="H194" s="1" t="s">
        <v>13</v>
      </c>
    </row>
    <row r="195" spans="2:8" x14ac:dyDescent="0.2">
      <c r="B195" s="4"/>
      <c r="C195" s="33" t="s">
        <v>310</v>
      </c>
      <c r="E195" s="1" t="s">
        <v>70</v>
      </c>
      <c r="G195" s="1">
        <v>2</v>
      </c>
      <c r="H195" s="1" t="s">
        <v>13</v>
      </c>
    </row>
    <row r="196" spans="2:8" x14ac:dyDescent="0.2">
      <c r="B196" s="131" t="s">
        <v>705</v>
      </c>
      <c r="C196" s="33" t="s">
        <v>311</v>
      </c>
      <c r="D196" s="1">
        <v>1725</v>
      </c>
      <c r="E196" s="1" t="s">
        <v>70</v>
      </c>
      <c r="F196" s="1">
        <v>1</v>
      </c>
      <c r="G196" s="1">
        <v>1</v>
      </c>
      <c r="H196" s="1" t="s">
        <v>13</v>
      </c>
    </row>
    <row r="197" spans="2:8" x14ac:dyDescent="0.2">
      <c r="B197" s="4" t="s">
        <v>312</v>
      </c>
      <c r="C197" s="33" t="s">
        <v>313</v>
      </c>
      <c r="D197" s="1">
        <v>2268</v>
      </c>
      <c r="E197" s="1" t="s">
        <v>100</v>
      </c>
      <c r="F197" s="1">
        <v>4</v>
      </c>
      <c r="H197" s="1" t="s">
        <v>16</v>
      </c>
    </row>
    <row r="198" spans="2:8" x14ac:dyDescent="0.2">
      <c r="B198" s="131"/>
      <c r="C198" s="33" t="s">
        <v>637</v>
      </c>
      <c r="E198" s="1" t="s">
        <v>110</v>
      </c>
      <c r="G198" s="1">
        <v>1</v>
      </c>
      <c r="H198" s="1" t="s">
        <v>13</v>
      </c>
    </row>
    <row r="199" spans="2:8" x14ac:dyDescent="0.2">
      <c r="B199" s="4"/>
      <c r="C199" s="33" t="s">
        <v>314</v>
      </c>
      <c r="E199" s="1" t="s">
        <v>30</v>
      </c>
      <c r="H199" s="1" t="s">
        <v>13</v>
      </c>
    </row>
    <row r="200" spans="2:8" x14ac:dyDescent="0.2">
      <c r="B200" s="4"/>
      <c r="C200" s="33" t="s">
        <v>315</v>
      </c>
      <c r="E200" s="1" t="s">
        <v>110</v>
      </c>
      <c r="G200" s="1">
        <v>2</v>
      </c>
      <c r="H200" s="1" t="s">
        <v>13</v>
      </c>
    </row>
    <row r="201" spans="2:8" x14ac:dyDescent="0.2">
      <c r="B201" s="4" t="s">
        <v>316</v>
      </c>
      <c r="C201" s="33" t="s">
        <v>317</v>
      </c>
      <c r="D201" s="1">
        <v>1214</v>
      </c>
      <c r="E201" s="1" t="s">
        <v>11</v>
      </c>
      <c r="F201" s="129">
        <v>4</v>
      </c>
      <c r="G201" s="1">
        <v>4</v>
      </c>
      <c r="H201" s="1" t="s">
        <v>7</v>
      </c>
    </row>
    <row r="202" spans="2:8" x14ac:dyDescent="0.2">
      <c r="B202" s="4" t="s">
        <v>318</v>
      </c>
      <c r="C202" s="33" t="s">
        <v>319</v>
      </c>
      <c r="D202" s="1">
        <v>2452</v>
      </c>
      <c r="E202" s="1" t="s">
        <v>11</v>
      </c>
      <c r="F202" s="1">
        <v>4</v>
      </c>
      <c r="G202" s="1">
        <v>4</v>
      </c>
      <c r="H202" s="1" t="s">
        <v>13</v>
      </c>
    </row>
    <row r="203" spans="2:8" x14ac:dyDescent="0.2">
      <c r="B203" s="131" t="s">
        <v>638</v>
      </c>
      <c r="C203" s="33" t="s">
        <v>639</v>
      </c>
      <c r="D203" s="1">
        <v>6</v>
      </c>
      <c r="E203" s="1" t="s">
        <v>22</v>
      </c>
      <c r="F203" s="1">
        <v>4</v>
      </c>
      <c r="G203" s="1">
        <v>3</v>
      </c>
      <c r="H203" s="1" t="s">
        <v>16</v>
      </c>
    </row>
    <row r="204" spans="2:8" x14ac:dyDescent="0.2">
      <c r="B204" s="4" t="s">
        <v>640</v>
      </c>
      <c r="C204" t="s">
        <v>320</v>
      </c>
      <c r="D204" s="1">
        <v>2369</v>
      </c>
      <c r="E204" s="1" t="s">
        <v>36</v>
      </c>
      <c r="F204" s="1">
        <v>3</v>
      </c>
      <c r="G204" s="1">
        <v>3</v>
      </c>
      <c r="H204" s="1" t="s">
        <v>16</v>
      </c>
    </row>
    <row r="205" spans="2:8" x14ac:dyDescent="0.2">
      <c r="B205" s="131" t="s">
        <v>641</v>
      </c>
      <c r="C205" s="33" t="s">
        <v>642</v>
      </c>
      <c r="D205" s="1">
        <v>2919</v>
      </c>
      <c r="E205" s="1" t="s">
        <v>143</v>
      </c>
      <c r="F205" s="1">
        <v>3</v>
      </c>
      <c r="G205" s="1">
        <v>3</v>
      </c>
      <c r="H205" s="1" t="s">
        <v>7</v>
      </c>
    </row>
    <row r="206" spans="2:8" x14ac:dyDescent="0.2">
      <c r="B206" s="131" t="s">
        <v>321</v>
      </c>
      <c r="C206" s="33" t="s">
        <v>322</v>
      </c>
      <c r="D206" s="1">
        <v>1740</v>
      </c>
      <c r="E206" s="1" t="s">
        <v>76</v>
      </c>
      <c r="F206" s="1">
        <v>3</v>
      </c>
      <c r="G206" s="1">
        <v>3</v>
      </c>
      <c r="H206" s="1" t="s">
        <v>13</v>
      </c>
    </row>
    <row r="207" spans="2:8" x14ac:dyDescent="0.2">
      <c r="B207" s="4" t="s">
        <v>738</v>
      </c>
      <c r="C207" t="s">
        <v>323</v>
      </c>
      <c r="D207" s="1">
        <v>2781</v>
      </c>
      <c r="E207" s="1" t="s">
        <v>94</v>
      </c>
      <c r="F207" s="1">
        <v>2</v>
      </c>
      <c r="G207" s="1">
        <v>2</v>
      </c>
      <c r="H207" s="1" t="s">
        <v>13</v>
      </c>
    </row>
    <row r="208" spans="2:8" x14ac:dyDescent="0.2">
      <c r="B208" s="131"/>
      <c r="C208" s="33" t="s">
        <v>643</v>
      </c>
      <c r="E208" s="1" t="s">
        <v>40</v>
      </c>
      <c r="G208" s="1">
        <v>2</v>
      </c>
      <c r="H208" s="1" t="s">
        <v>13</v>
      </c>
    </row>
    <row r="209" spans="2:8" x14ac:dyDescent="0.2">
      <c r="B209" s="131" t="s">
        <v>644</v>
      </c>
      <c r="C209" s="33" t="s">
        <v>645</v>
      </c>
      <c r="D209" s="1" t="s">
        <v>723</v>
      </c>
      <c r="E209" s="1" t="s">
        <v>76</v>
      </c>
      <c r="F209" s="1">
        <v>4</v>
      </c>
      <c r="G209" s="1">
        <v>3</v>
      </c>
      <c r="H209" s="1" t="s">
        <v>587</v>
      </c>
    </row>
    <row r="210" spans="2:8" x14ac:dyDescent="0.2">
      <c r="B210" s="4"/>
      <c r="C210" s="33" t="s">
        <v>324</v>
      </c>
      <c r="E210" s="1" t="s">
        <v>34</v>
      </c>
      <c r="G210" s="1">
        <v>3</v>
      </c>
      <c r="H210" s="1" t="s">
        <v>13</v>
      </c>
    </row>
    <row r="211" spans="2:8" x14ac:dyDescent="0.2">
      <c r="B211" s="133" t="s">
        <v>646</v>
      </c>
      <c r="C211" s="33" t="s">
        <v>647</v>
      </c>
      <c r="D211" s="1">
        <v>4628</v>
      </c>
      <c r="E211" s="1" t="s">
        <v>46</v>
      </c>
      <c r="F211" s="1">
        <v>2</v>
      </c>
      <c r="G211" s="1">
        <v>2</v>
      </c>
      <c r="H211" s="1" t="s">
        <v>13</v>
      </c>
    </row>
    <row r="212" spans="2:8" x14ac:dyDescent="0.2">
      <c r="B212" s="4" t="s">
        <v>325</v>
      </c>
      <c r="C212" s="33" t="s">
        <v>326</v>
      </c>
      <c r="D212" s="1">
        <v>2465</v>
      </c>
      <c r="E212" s="1" t="s">
        <v>11</v>
      </c>
      <c r="F212" s="1">
        <v>1</v>
      </c>
      <c r="G212" s="1">
        <v>1</v>
      </c>
      <c r="H212" s="1" t="s">
        <v>13</v>
      </c>
    </row>
    <row r="213" spans="2:8" x14ac:dyDescent="0.2">
      <c r="B213" s="4" t="s">
        <v>327</v>
      </c>
      <c r="C213" s="33" t="s">
        <v>328</v>
      </c>
      <c r="E213" s="1" t="s">
        <v>11</v>
      </c>
      <c r="F213" s="1">
        <v>3</v>
      </c>
      <c r="G213" s="1">
        <v>3</v>
      </c>
      <c r="H213" s="1" t="s">
        <v>13</v>
      </c>
    </row>
    <row r="214" spans="2:8" x14ac:dyDescent="0.2">
      <c r="B214" s="134" t="s">
        <v>676</v>
      </c>
      <c r="C214" s="34" t="s">
        <v>677</v>
      </c>
      <c r="D214" s="35"/>
      <c r="E214" s="132" t="s">
        <v>712</v>
      </c>
      <c r="F214" s="35">
        <v>2</v>
      </c>
      <c r="G214" s="35">
        <v>2</v>
      </c>
      <c r="H214" s="35" t="s">
        <v>13</v>
      </c>
    </row>
    <row r="215" spans="2:8" x14ac:dyDescent="0.2">
      <c r="B215" s="4" t="s">
        <v>329</v>
      </c>
      <c r="C215" s="33" t="s">
        <v>330</v>
      </c>
      <c r="E215" s="1" t="s">
        <v>14</v>
      </c>
      <c r="F215" s="1">
        <v>3</v>
      </c>
      <c r="G215" s="1">
        <v>3</v>
      </c>
      <c r="H215" s="1" t="s">
        <v>13</v>
      </c>
    </row>
    <row r="216" spans="2:8" x14ac:dyDescent="0.2">
      <c r="B216" s="4" t="s">
        <v>331</v>
      </c>
      <c r="C216" s="33" t="s">
        <v>332</v>
      </c>
      <c r="D216" s="1">
        <v>1229</v>
      </c>
      <c r="E216" s="1" t="s">
        <v>11</v>
      </c>
      <c r="F216" s="1">
        <v>4</v>
      </c>
      <c r="G216" s="1">
        <v>4</v>
      </c>
      <c r="H216" s="1" t="s">
        <v>16</v>
      </c>
    </row>
    <row r="217" spans="2:8" x14ac:dyDescent="0.2">
      <c r="B217" s="4" t="s">
        <v>737</v>
      </c>
      <c r="C217" s="33" t="s">
        <v>333</v>
      </c>
      <c r="D217" s="1" t="s">
        <v>734</v>
      </c>
      <c r="E217" s="1" t="s">
        <v>0</v>
      </c>
      <c r="F217" s="1">
        <v>4</v>
      </c>
      <c r="G217" s="1">
        <v>4</v>
      </c>
      <c r="H217" s="1" t="s">
        <v>13</v>
      </c>
    </row>
    <row r="218" spans="2:8" x14ac:dyDescent="0.2">
      <c r="B218" s="4"/>
      <c r="C218" s="33" t="s">
        <v>334</v>
      </c>
      <c r="E218" s="1" t="s">
        <v>76</v>
      </c>
      <c r="H218" s="1" t="s">
        <v>13</v>
      </c>
    </row>
    <row r="219" spans="2:8" x14ac:dyDescent="0.2">
      <c r="B219" s="131" t="s">
        <v>335</v>
      </c>
      <c r="C219" s="33" t="s">
        <v>336</v>
      </c>
      <c r="D219" s="1">
        <v>12</v>
      </c>
      <c r="E219" s="1" t="s">
        <v>40</v>
      </c>
      <c r="F219" s="1">
        <v>3</v>
      </c>
      <c r="G219" s="1">
        <v>3</v>
      </c>
      <c r="H219" s="1" t="s">
        <v>16</v>
      </c>
    </row>
    <row r="220" spans="2:8" x14ac:dyDescent="0.2">
      <c r="B220" s="131" t="s">
        <v>337</v>
      </c>
      <c r="C220" s="33" t="s">
        <v>338</v>
      </c>
      <c r="D220" s="1" t="s">
        <v>717</v>
      </c>
      <c r="E220" s="1" t="s">
        <v>76</v>
      </c>
      <c r="F220" s="1">
        <v>3</v>
      </c>
      <c r="G220" s="1">
        <v>3</v>
      </c>
      <c r="H220" s="1" t="s">
        <v>13</v>
      </c>
    </row>
    <row r="221" spans="2:8" x14ac:dyDescent="0.2">
      <c r="B221" s="4" t="s">
        <v>740</v>
      </c>
      <c r="C221" t="s">
        <v>339</v>
      </c>
      <c r="D221" s="1">
        <v>2569</v>
      </c>
      <c r="E221" s="1" t="s">
        <v>94</v>
      </c>
      <c r="F221" s="1">
        <v>2</v>
      </c>
      <c r="G221" s="1">
        <v>2</v>
      </c>
      <c r="H221" s="1" t="s">
        <v>13</v>
      </c>
    </row>
    <row r="222" spans="2:8" x14ac:dyDescent="0.2">
      <c r="B222" s="4"/>
      <c r="C222" s="33" t="s">
        <v>339</v>
      </c>
      <c r="E222" s="1" t="s">
        <v>94</v>
      </c>
      <c r="G222" s="1">
        <v>2</v>
      </c>
      <c r="H222" s="1" t="s">
        <v>13</v>
      </c>
    </row>
    <row r="223" spans="2:8" x14ac:dyDescent="0.2">
      <c r="B223" s="131" t="s">
        <v>648</v>
      </c>
      <c r="C223" s="33" t="s">
        <v>649</v>
      </c>
      <c r="D223" s="1" t="s">
        <v>720</v>
      </c>
      <c r="E223" s="1" t="s">
        <v>0</v>
      </c>
      <c r="F223" s="1">
        <v>4</v>
      </c>
      <c r="G223" s="1">
        <v>3</v>
      </c>
      <c r="H223" s="1" t="s">
        <v>13</v>
      </c>
    </row>
    <row r="224" spans="2:8" x14ac:dyDescent="0.2">
      <c r="B224" s="4"/>
      <c r="C224" s="33" t="s">
        <v>340</v>
      </c>
      <c r="E224" s="1" t="s">
        <v>46</v>
      </c>
      <c r="H224" s="1" t="s">
        <v>13</v>
      </c>
    </row>
    <row r="225" spans="2:8" x14ac:dyDescent="0.2">
      <c r="B225" s="4"/>
      <c r="C225" s="33" t="s">
        <v>341</v>
      </c>
      <c r="E225" s="1" t="s">
        <v>76</v>
      </c>
      <c r="H225" s="1" t="s">
        <v>13</v>
      </c>
    </row>
    <row r="226" spans="2:8" x14ac:dyDescent="0.2">
      <c r="B226" s="131" t="s">
        <v>650</v>
      </c>
      <c r="C226" s="33" t="s">
        <v>651</v>
      </c>
      <c r="D226" s="1" t="s">
        <v>718</v>
      </c>
      <c r="E226" s="1" t="s">
        <v>58</v>
      </c>
      <c r="F226" s="1">
        <v>2</v>
      </c>
      <c r="G226" s="1">
        <v>2</v>
      </c>
      <c r="H226" s="1" t="s">
        <v>13</v>
      </c>
    </row>
    <row r="227" spans="2:8" x14ac:dyDescent="0.2">
      <c r="B227" s="4"/>
      <c r="C227" s="33" t="s">
        <v>342</v>
      </c>
      <c r="E227" s="1" t="s">
        <v>40</v>
      </c>
      <c r="G227" s="1">
        <v>2</v>
      </c>
      <c r="H227" s="1" t="s">
        <v>13</v>
      </c>
    </row>
    <row r="228" spans="2:8" x14ac:dyDescent="0.2">
      <c r="B228" s="130" t="s">
        <v>684</v>
      </c>
      <c r="C228" s="34" t="s">
        <v>685</v>
      </c>
      <c r="D228" s="35">
        <v>6010</v>
      </c>
      <c r="E228" s="35" t="s">
        <v>11</v>
      </c>
      <c r="F228" s="35">
        <v>4</v>
      </c>
      <c r="G228" s="35">
        <v>4</v>
      </c>
      <c r="H228" s="35" t="s">
        <v>13</v>
      </c>
    </row>
    <row r="229" spans="2:8" x14ac:dyDescent="0.2">
      <c r="B229" s="4"/>
      <c r="C229" t="s">
        <v>652</v>
      </c>
      <c r="E229" s="1" t="s">
        <v>46</v>
      </c>
      <c r="H229" s="1" t="s">
        <v>13</v>
      </c>
    </row>
    <row r="230" spans="2:8" x14ac:dyDescent="0.2">
      <c r="B230" s="4"/>
      <c r="C230" t="s">
        <v>653</v>
      </c>
      <c r="E230" s="1"/>
      <c r="H230" s="1" t="s">
        <v>13</v>
      </c>
    </row>
    <row r="231" spans="2:8" x14ac:dyDescent="0.2">
      <c r="B231" s="4"/>
      <c r="C231" s="33" t="s">
        <v>343</v>
      </c>
      <c r="E231" s="1" t="s">
        <v>30</v>
      </c>
      <c r="G231" s="1">
        <v>2</v>
      </c>
      <c r="H231" s="1" t="s">
        <v>16</v>
      </c>
    </row>
    <row r="232" spans="2:8" x14ac:dyDescent="0.2">
      <c r="B232" s="131" t="s">
        <v>549</v>
      </c>
      <c r="C232" s="33" t="s">
        <v>550</v>
      </c>
      <c r="E232" s="1" t="s">
        <v>11</v>
      </c>
    </row>
    <row r="233" spans="2:8" x14ac:dyDescent="0.2">
      <c r="B233" s="4" t="s">
        <v>344</v>
      </c>
      <c r="C233" s="33" t="s">
        <v>345</v>
      </c>
      <c r="D233" s="1">
        <v>1222</v>
      </c>
      <c r="E233" s="1" t="s">
        <v>11</v>
      </c>
      <c r="F233" s="1">
        <v>2</v>
      </c>
      <c r="G233" s="1">
        <v>2</v>
      </c>
      <c r="H233" s="1" t="s">
        <v>13</v>
      </c>
    </row>
    <row r="234" spans="2:8" x14ac:dyDescent="0.2">
      <c r="B234" s="4" t="s">
        <v>346</v>
      </c>
      <c r="C234" s="33" t="s">
        <v>347</v>
      </c>
      <c r="D234" s="1">
        <v>2564</v>
      </c>
      <c r="E234" s="1" t="s">
        <v>11</v>
      </c>
      <c r="F234" s="1">
        <v>3</v>
      </c>
      <c r="G234" s="1">
        <v>3</v>
      </c>
      <c r="H234" s="1" t="s">
        <v>13</v>
      </c>
    </row>
    <row r="235" spans="2:8" x14ac:dyDescent="0.2">
      <c r="B235" s="130" t="s">
        <v>752</v>
      </c>
      <c r="C235" s="34" t="s">
        <v>753</v>
      </c>
      <c r="D235" s="35"/>
      <c r="E235" s="35"/>
      <c r="F235" s="35">
        <v>3</v>
      </c>
      <c r="G235" s="35">
        <v>3</v>
      </c>
      <c r="H235" s="35" t="s">
        <v>13</v>
      </c>
    </row>
    <row r="236" spans="2:8" x14ac:dyDescent="0.2">
      <c r="B236" s="131" t="s">
        <v>502</v>
      </c>
      <c r="C236" s="33" t="s">
        <v>503</v>
      </c>
      <c r="E236" s="1" t="s">
        <v>11</v>
      </c>
      <c r="F236" s="1">
        <v>4</v>
      </c>
      <c r="G236" s="1">
        <v>4</v>
      </c>
      <c r="H236" s="1" t="s">
        <v>10</v>
      </c>
    </row>
    <row r="237" spans="2:8" x14ac:dyDescent="0.2">
      <c r="B237" s="4"/>
      <c r="C237" s="33" t="s">
        <v>348</v>
      </c>
      <c r="E237" s="1" t="s">
        <v>76</v>
      </c>
      <c r="G237" s="1">
        <v>2</v>
      </c>
      <c r="H237" s="1" t="s">
        <v>13</v>
      </c>
    </row>
    <row r="238" spans="2:8" x14ac:dyDescent="0.2">
      <c r="B238" s="131" t="s">
        <v>349</v>
      </c>
      <c r="C238" s="33" t="s">
        <v>350</v>
      </c>
      <c r="D238" s="1">
        <v>1249</v>
      </c>
      <c r="E238" s="1" t="s">
        <v>11</v>
      </c>
      <c r="F238" s="1">
        <v>4</v>
      </c>
      <c r="G238" s="1">
        <v>4</v>
      </c>
      <c r="H238" s="1" t="s">
        <v>13</v>
      </c>
    </row>
    <row r="239" spans="2:8" x14ac:dyDescent="0.2">
      <c r="B239" s="4"/>
      <c r="C239" s="33" t="s">
        <v>351</v>
      </c>
      <c r="E239" s="1" t="s">
        <v>11</v>
      </c>
      <c r="G239" s="1">
        <v>3</v>
      </c>
      <c r="H239" s="124" t="s">
        <v>13</v>
      </c>
    </row>
    <row r="240" spans="2:8" x14ac:dyDescent="0.2">
      <c r="B240" s="4" t="s">
        <v>551</v>
      </c>
      <c r="C240" s="33" t="s">
        <v>352</v>
      </c>
      <c r="E240" s="1" t="s">
        <v>11</v>
      </c>
      <c r="F240" s="1">
        <v>4</v>
      </c>
      <c r="G240" s="1">
        <v>4</v>
      </c>
      <c r="H240" s="124" t="s">
        <v>16</v>
      </c>
    </row>
    <row r="241" spans="2:8" x14ac:dyDescent="0.2">
      <c r="B241" s="134" t="s">
        <v>673</v>
      </c>
      <c r="C241" s="34" t="s">
        <v>742</v>
      </c>
      <c r="D241" s="35"/>
      <c r="E241" s="35" t="s">
        <v>70</v>
      </c>
      <c r="F241" s="35">
        <v>1</v>
      </c>
      <c r="G241" s="35">
        <v>1</v>
      </c>
      <c r="H241" s="128" t="s">
        <v>13</v>
      </c>
    </row>
    <row r="242" spans="2:8" x14ac:dyDescent="0.2">
      <c r="B242" s="131" t="s">
        <v>552</v>
      </c>
      <c r="C242" s="33" t="s">
        <v>553</v>
      </c>
      <c r="E242" s="1"/>
      <c r="H242" s="124"/>
    </row>
    <row r="243" spans="2:8" x14ac:dyDescent="0.2">
      <c r="B243" s="4" t="s">
        <v>353</v>
      </c>
      <c r="C243" s="33" t="s">
        <v>354</v>
      </c>
      <c r="E243" s="1" t="s">
        <v>14</v>
      </c>
      <c r="F243" s="1">
        <v>3</v>
      </c>
      <c r="G243" s="1">
        <v>3</v>
      </c>
      <c r="H243" s="124" t="s">
        <v>13</v>
      </c>
    </row>
    <row r="244" spans="2:8" x14ac:dyDescent="0.2">
      <c r="B244" s="4" t="s">
        <v>355</v>
      </c>
      <c r="C244" s="33" t="s">
        <v>356</v>
      </c>
      <c r="E244" s="1" t="s">
        <v>40</v>
      </c>
      <c r="F244" s="1">
        <v>1</v>
      </c>
      <c r="G244" s="1">
        <v>1</v>
      </c>
      <c r="H244" s="124" t="s">
        <v>13</v>
      </c>
    </row>
    <row r="245" spans="2:8" x14ac:dyDescent="0.2">
      <c r="B245" s="4"/>
      <c r="C245" s="33" t="s">
        <v>357</v>
      </c>
      <c r="E245" s="1" t="s">
        <v>34</v>
      </c>
      <c r="G245" s="1">
        <v>3</v>
      </c>
      <c r="H245" s="124" t="s">
        <v>13</v>
      </c>
    </row>
    <row r="246" spans="2:8" x14ac:dyDescent="0.2">
      <c r="B246" s="4"/>
      <c r="C246" s="33" t="s">
        <v>358</v>
      </c>
      <c r="E246" s="1" t="s">
        <v>11</v>
      </c>
      <c r="G246" s="1">
        <v>4</v>
      </c>
      <c r="H246" s="124" t="s">
        <v>16</v>
      </c>
    </row>
    <row r="247" spans="2:8" x14ac:dyDescent="0.2">
      <c r="B247" s="131" t="s">
        <v>359</v>
      </c>
      <c r="C247" s="33" t="s">
        <v>360</v>
      </c>
      <c r="D247" s="1">
        <v>2326</v>
      </c>
      <c r="E247" s="1" t="s">
        <v>100</v>
      </c>
      <c r="F247" s="1">
        <v>3</v>
      </c>
      <c r="G247" s="1">
        <v>3</v>
      </c>
      <c r="H247" s="124" t="s">
        <v>13</v>
      </c>
    </row>
    <row r="248" spans="2:8" x14ac:dyDescent="0.2">
      <c r="B248" s="131" t="s">
        <v>361</v>
      </c>
      <c r="C248" s="33" t="s">
        <v>362</v>
      </c>
      <c r="D248" s="1">
        <v>1273</v>
      </c>
      <c r="E248" s="1" t="s">
        <v>11</v>
      </c>
      <c r="F248" s="1">
        <v>2</v>
      </c>
      <c r="G248" s="1">
        <v>2</v>
      </c>
      <c r="H248" s="124" t="s">
        <v>13</v>
      </c>
    </row>
    <row r="249" spans="2:8" x14ac:dyDescent="0.2">
      <c r="B249" s="4" t="s">
        <v>554</v>
      </c>
      <c r="C249" s="33" t="s">
        <v>363</v>
      </c>
      <c r="E249" s="1" t="s">
        <v>11</v>
      </c>
      <c r="F249" s="1">
        <v>2</v>
      </c>
      <c r="G249" s="1">
        <v>2</v>
      </c>
      <c r="H249" s="124" t="s">
        <v>13</v>
      </c>
    </row>
    <row r="250" spans="2:8" x14ac:dyDescent="0.2">
      <c r="B250" s="4" t="s">
        <v>364</v>
      </c>
      <c r="C250" s="33" t="s">
        <v>555</v>
      </c>
      <c r="D250" s="1">
        <v>1202</v>
      </c>
      <c r="E250" s="1" t="s">
        <v>11</v>
      </c>
      <c r="F250" s="1">
        <v>4</v>
      </c>
      <c r="G250" s="1">
        <v>4</v>
      </c>
      <c r="H250" s="124" t="s">
        <v>16</v>
      </c>
    </row>
    <row r="251" spans="2:8" x14ac:dyDescent="0.2">
      <c r="B251" s="4"/>
      <c r="C251" s="33" t="s">
        <v>365</v>
      </c>
      <c r="E251" s="1" t="s">
        <v>34</v>
      </c>
      <c r="G251" s="1">
        <v>2</v>
      </c>
      <c r="H251" s="124" t="s">
        <v>7</v>
      </c>
    </row>
    <row r="252" spans="2:8" x14ac:dyDescent="0.2">
      <c r="B252" s="131" t="s">
        <v>366</v>
      </c>
      <c r="C252" s="33" t="s">
        <v>504</v>
      </c>
      <c r="D252" s="1">
        <v>2284</v>
      </c>
      <c r="E252" s="1" t="s">
        <v>100</v>
      </c>
      <c r="F252" s="1">
        <v>4</v>
      </c>
      <c r="G252" s="1">
        <v>4</v>
      </c>
      <c r="H252" s="124" t="s">
        <v>13</v>
      </c>
    </row>
    <row r="253" spans="2:8" x14ac:dyDescent="0.2">
      <c r="B253" s="131" t="s">
        <v>367</v>
      </c>
      <c r="C253" s="33" t="s">
        <v>745</v>
      </c>
      <c r="D253" s="1">
        <v>5594</v>
      </c>
      <c r="E253" s="1" t="s">
        <v>11</v>
      </c>
      <c r="F253" s="1">
        <v>4</v>
      </c>
      <c r="G253" s="1">
        <v>4</v>
      </c>
      <c r="H253" s="124" t="s">
        <v>13</v>
      </c>
    </row>
    <row r="254" spans="2:8" x14ac:dyDescent="0.2">
      <c r="B254" s="131" t="s">
        <v>368</v>
      </c>
      <c r="C254" s="33" t="s">
        <v>369</v>
      </c>
      <c r="D254" s="1">
        <v>100</v>
      </c>
      <c r="E254" s="1" t="s">
        <v>40</v>
      </c>
      <c r="F254" s="1">
        <v>1</v>
      </c>
      <c r="G254" s="1">
        <v>1</v>
      </c>
      <c r="H254" s="124" t="s">
        <v>13</v>
      </c>
    </row>
    <row r="255" spans="2:8" x14ac:dyDescent="0.2">
      <c r="B255" s="131" t="s">
        <v>654</v>
      </c>
      <c r="C255" s="33" t="s">
        <v>655</v>
      </c>
      <c r="D255" s="1" t="s">
        <v>731</v>
      </c>
      <c r="E255" s="1" t="s">
        <v>0</v>
      </c>
      <c r="F255" s="1">
        <v>4</v>
      </c>
      <c r="G255" s="1">
        <v>4</v>
      </c>
      <c r="H255" s="124" t="s">
        <v>13</v>
      </c>
    </row>
    <row r="256" spans="2:8" x14ac:dyDescent="0.2">
      <c r="B256" s="4" t="s">
        <v>370</v>
      </c>
      <c r="C256" s="33" t="s">
        <v>371</v>
      </c>
      <c r="D256" s="1">
        <v>1213</v>
      </c>
      <c r="E256" s="1" t="s">
        <v>11</v>
      </c>
      <c r="F256" s="1">
        <v>2</v>
      </c>
      <c r="G256" s="1">
        <v>2</v>
      </c>
      <c r="H256" s="124" t="s">
        <v>13</v>
      </c>
    </row>
    <row r="257" spans="2:8" x14ac:dyDescent="0.2">
      <c r="B257" s="131" t="s">
        <v>556</v>
      </c>
      <c r="C257" s="33" t="s">
        <v>557</v>
      </c>
      <c r="E257" s="1" t="s">
        <v>11</v>
      </c>
      <c r="H257" s="124"/>
    </row>
    <row r="258" spans="2:8" x14ac:dyDescent="0.2">
      <c r="B258" s="4"/>
      <c r="C258" s="33" t="s">
        <v>372</v>
      </c>
      <c r="E258" s="1" t="s">
        <v>11</v>
      </c>
      <c r="G258" s="1">
        <v>4</v>
      </c>
      <c r="H258" s="124" t="s">
        <v>13</v>
      </c>
    </row>
    <row r="259" spans="2:8" x14ac:dyDescent="0.2">
      <c r="B259" s="4"/>
      <c r="C259" s="33" t="s">
        <v>373</v>
      </c>
      <c r="E259" s="1" t="s">
        <v>11</v>
      </c>
      <c r="G259" s="1">
        <v>2</v>
      </c>
      <c r="H259" s="124" t="s">
        <v>16</v>
      </c>
    </row>
    <row r="260" spans="2:8" x14ac:dyDescent="0.2">
      <c r="B260" s="130" t="s">
        <v>682</v>
      </c>
      <c r="C260" s="34" t="s">
        <v>683</v>
      </c>
      <c r="D260" s="35"/>
      <c r="E260" s="35" t="s">
        <v>11</v>
      </c>
      <c r="F260" s="35">
        <v>4</v>
      </c>
      <c r="G260" s="35">
        <v>4</v>
      </c>
      <c r="H260" s="128" t="s">
        <v>13</v>
      </c>
    </row>
    <row r="261" spans="2:8" x14ac:dyDescent="0.2">
      <c r="B261" s="131" t="s">
        <v>374</v>
      </c>
      <c r="C261" s="33" t="s">
        <v>375</v>
      </c>
      <c r="D261" s="1" t="s">
        <v>715</v>
      </c>
      <c r="E261" s="1" t="s">
        <v>76</v>
      </c>
      <c r="F261" s="1">
        <v>3</v>
      </c>
      <c r="G261" s="1">
        <v>2</v>
      </c>
      <c r="H261" s="124" t="s">
        <v>13</v>
      </c>
    </row>
    <row r="262" spans="2:8" x14ac:dyDescent="0.2">
      <c r="B262" s="4" t="s">
        <v>376</v>
      </c>
      <c r="C262" s="33" t="s">
        <v>377</v>
      </c>
      <c r="D262" s="1">
        <v>2550</v>
      </c>
      <c r="E262" s="1" t="s">
        <v>11</v>
      </c>
      <c r="F262" s="1">
        <v>3</v>
      </c>
      <c r="G262" s="1">
        <v>3</v>
      </c>
      <c r="H262" s="124" t="s">
        <v>13</v>
      </c>
    </row>
    <row r="263" spans="2:8" x14ac:dyDescent="0.2">
      <c r="B263" s="4"/>
      <c r="C263" s="33" t="s">
        <v>378</v>
      </c>
      <c r="E263" s="1" t="s">
        <v>110</v>
      </c>
      <c r="G263" s="1">
        <v>3</v>
      </c>
      <c r="H263" s="124" t="s">
        <v>13</v>
      </c>
    </row>
    <row r="264" spans="2:8" x14ac:dyDescent="0.2">
      <c r="B264" s="4" t="s">
        <v>379</v>
      </c>
      <c r="C264" s="33" t="s">
        <v>380</v>
      </c>
      <c r="D264" s="1">
        <v>2351</v>
      </c>
      <c r="E264" s="1" t="s">
        <v>36</v>
      </c>
      <c r="F264" s="1">
        <v>3</v>
      </c>
      <c r="G264" s="1">
        <v>3</v>
      </c>
      <c r="H264" s="124" t="s">
        <v>16</v>
      </c>
    </row>
    <row r="265" spans="2:8" x14ac:dyDescent="0.2">
      <c r="B265" s="4" t="s">
        <v>381</v>
      </c>
      <c r="C265" s="33" t="s">
        <v>382</v>
      </c>
      <c r="D265" s="1">
        <v>2366</v>
      </c>
      <c r="E265" s="1" t="s">
        <v>36</v>
      </c>
      <c r="F265" s="1">
        <v>2</v>
      </c>
      <c r="G265" s="1">
        <v>2</v>
      </c>
      <c r="H265" s="124" t="s">
        <v>13</v>
      </c>
    </row>
    <row r="266" spans="2:8" x14ac:dyDescent="0.2">
      <c r="B266" s="131" t="s">
        <v>383</v>
      </c>
      <c r="C266" s="33" t="s">
        <v>558</v>
      </c>
      <c r="E266" s="1" t="s">
        <v>11</v>
      </c>
      <c r="F266" s="1">
        <v>3</v>
      </c>
      <c r="G266" s="1">
        <v>3</v>
      </c>
      <c r="H266" s="124" t="s">
        <v>13</v>
      </c>
    </row>
    <row r="267" spans="2:8" x14ac:dyDescent="0.2">
      <c r="B267" s="131"/>
      <c r="C267" s="33" t="s">
        <v>656</v>
      </c>
      <c r="E267" s="1" t="s">
        <v>30</v>
      </c>
      <c r="H267" s="124" t="s">
        <v>13</v>
      </c>
    </row>
    <row r="268" spans="2:8" x14ac:dyDescent="0.2">
      <c r="B268" s="131" t="s">
        <v>384</v>
      </c>
      <c r="C268" s="33" t="s">
        <v>385</v>
      </c>
      <c r="D268" s="1">
        <v>2322</v>
      </c>
      <c r="E268" s="1" t="s">
        <v>100</v>
      </c>
      <c r="F268" s="1">
        <v>4</v>
      </c>
      <c r="G268" s="1">
        <v>4</v>
      </c>
      <c r="H268" s="124" t="s">
        <v>13</v>
      </c>
    </row>
    <row r="269" spans="2:8" x14ac:dyDescent="0.2">
      <c r="B269" s="131"/>
      <c r="C269" s="33" t="s">
        <v>386</v>
      </c>
      <c r="D269" s="1">
        <v>26</v>
      </c>
      <c r="E269" s="1" t="s">
        <v>40</v>
      </c>
      <c r="G269" s="1">
        <v>2</v>
      </c>
      <c r="H269" s="124" t="s">
        <v>13</v>
      </c>
    </row>
    <row r="270" spans="2:8" x14ac:dyDescent="0.2">
      <c r="B270" s="131" t="s">
        <v>498</v>
      </c>
      <c r="C270" s="33" t="s">
        <v>387</v>
      </c>
      <c r="D270" s="1">
        <v>4613</v>
      </c>
      <c r="E270" s="1" t="s">
        <v>143</v>
      </c>
      <c r="F270" s="1">
        <v>2</v>
      </c>
      <c r="G270" s="1">
        <v>2</v>
      </c>
      <c r="H270" s="124" t="s">
        <v>13</v>
      </c>
    </row>
    <row r="271" spans="2:8" x14ac:dyDescent="0.2">
      <c r="B271" s="4" t="s">
        <v>388</v>
      </c>
      <c r="C271" s="33" t="s">
        <v>389</v>
      </c>
      <c r="D271" s="1">
        <v>2542</v>
      </c>
      <c r="E271" s="1" t="s">
        <v>11</v>
      </c>
      <c r="F271" s="1">
        <v>2</v>
      </c>
      <c r="G271" s="1">
        <v>2</v>
      </c>
      <c r="H271" s="124" t="s">
        <v>13</v>
      </c>
    </row>
    <row r="272" spans="2:8" x14ac:dyDescent="0.2">
      <c r="B272" s="4" t="s">
        <v>390</v>
      </c>
      <c r="C272" s="33" t="s">
        <v>391</v>
      </c>
      <c r="D272" s="1">
        <v>1224</v>
      </c>
      <c r="E272" s="1" t="s">
        <v>11</v>
      </c>
      <c r="F272" s="1">
        <v>3</v>
      </c>
      <c r="G272" s="1">
        <v>3</v>
      </c>
      <c r="H272" s="124" t="s">
        <v>13</v>
      </c>
    </row>
    <row r="273" spans="2:8" x14ac:dyDescent="0.2">
      <c r="B273" s="4"/>
      <c r="C273" s="33" t="s">
        <v>392</v>
      </c>
      <c r="E273" s="1" t="s">
        <v>80</v>
      </c>
      <c r="G273" s="1">
        <v>4</v>
      </c>
      <c r="H273" s="124" t="s">
        <v>13</v>
      </c>
    </row>
    <row r="274" spans="2:8" x14ac:dyDescent="0.2">
      <c r="B274" s="131" t="s">
        <v>559</v>
      </c>
      <c r="C274" s="33" t="s">
        <v>560</v>
      </c>
      <c r="E274" s="1" t="s">
        <v>11</v>
      </c>
      <c r="H274" s="124"/>
    </row>
    <row r="275" spans="2:8" x14ac:dyDescent="0.2">
      <c r="B275" s="130" t="s">
        <v>688</v>
      </c>
      <c r="C275" s="34" t="s">
        <v>761</v>
      </c>
      <c r="D275" s="35"/>
      <c r="E275" s="35" t="s">
        <v>70</v>
      </c>
      <c r="F275" s="35">
        <v>2</v>
      </c>
      <c r="G275" s="35">
        <v>2</v>
      </c>
      <c r="H275" s="128" t="s">
        <v>16</v>
      </c>
    </row>
    <row r="276" spans="2:8" x14ac:dyDescent="0.2">
      <c r="B276" s="131" t="s">
        <v>741</v>
      </c>
      <c r="C276" s="33" t="s">
        <v>657</v>
      </c>
      <c r="D276" s="1">
        <v>2981</v>
      </c>
      <c r="E276" s="1" t="s">
        <v>94</v>
      </c>
      <c r="F276" s="1">
        <v>2</v>
      </c>
      <c r="G276" s="1">
        <v>2</v>
      </c>
      <c r="H276" s="124" t="s">
        <v>13</v>
      </c>
    </row>
    <row r="277" spans="2:8" x14ac:dyDescent="0.2">
      <c r="B277" s="131" t="s">
        <v>393</v>
      </c>
      <c r="C277" s="33" t="s">
        <v>394</v>
      </c>
      <c r="D277" s="1">
        <v>2299</v>
      </c>
      <c r="E277" s="1" t="s">
        <v>100</v>
      </c>
      <c r="F277" s="1">
        <v>2</v>
      </c>
      <c r="G277" s="1">
        <v>2</v>
      </c>
      <c r="H277" s="124" t="s">
        <v>13</v>
      </c>
    </row>
    <row r="278" spans="2:8" x14ac:dyDescent="0.2">
      <c r="B278" s="131" t="s">
        <v>561</v>
      </c>
      <c r="C278" s="33" t="s">
        <v>562</v>
      </c>
      <c r="E278" s="1" t="s">
        <v>11</v>
      </c>
      <c r="H278" s="124"/>
    </row>
    <row r="279" spans="2:8" x14ac:dyDescent="0.2">
      <c r="B279" s="4"/>
      <c r="C279" s="33" t="s">
        <v>395</v>
      </c>
      <c r="E279" s="1" t="s">
        <v>30</v>
      </c>
      <c r="G279" s="1">
        <v>3</v>
      </c>
      <c r="H279" s="124" t="s">
        <v>10</v>
      </c>
    </row>
    <row r="280" spans="2:8" x14ac:dyDescent="0.2">
      <c r="B280" s="131" t="s">
        <v>563</v>
      </c>
      <c r="C280" s="33" t="s">
        <v>564</v>
      </c>
      <c r="E280" s="1" t="s">
        <v>11</v>
      </c>
      <c r="H280" s="124"/>
    </row>
    <row r="281" spans="2:8" x14ac:dyDescent="0.2">
      <c r="B281" s="4"/>
      <c r="C281" s="33" t="s">
        <v>396</v>
      </c>
      <c r="E281" s="1" t="s">
        <v>40</v>
      </c>
      <c r="G281" s="1">
        <v>3</v>
      </c>
      <c r="H281" s="124" t="s">
        <v>13</v>
      </c>
    </row>
    <row r="282" spans="2:8" x14ac:dyDescent="0.2">
      <c r="B282" s="131" t="s">
        <v>565</v>
      </c>
      <c r="C282" s="33" t="s">
        <v>566</v>
      </c>
      <c r="E282" s="1" t="s">
        <v>11</v>
      </c>
      <c r="F282" s="1">
        <v>4</v>
      </c>
      <c r="G282" s="1">
        <v>4</v>
      </c>
      <c r="H282" s="124" t="s">
        <v>13</v>
      </c>
    </row>
    <row r="283" spans="2:8" x14ac:dyDescent="0.2">
      <c r="B283" s="4" t="s">
        <v>397</v>
      </c>
      <c r="C283" s="33" t="s">
        <v>398</v>
      </c>
      <c r="D283" s="1">
        <v>1203</v>
      </c>
      <c r="E283" s="1" t="s">
        <v>11</v>
      </c>
      <c r="F283" s="1">
        <v>2</v>
      </c>
      <c r="G283" s="1">
        <v>2</v>
      </c>
      <c r="H283" s="124" t="s">
        <v>13</v>
      </c>
    </row>
    <row r="284" spans="2:8" x14ac:dyDescent="0.2">
      <c r="B284" s="4"/>
      <c r="C284" s="33" t="s">
        <v>399</v>
      </c>
      <c r="E284" s="1" t="s">
        <v>34</v>
      </c>
      <c r="G284" s="1">
        <v>3</v>
      </c>
      <c r="H284" s="124" t="s">
        <v>13</v>
      </c>
    </row>
    <row r="285" spans="2:8" x14ac:dyDescent="0.2">
      <c r="B285" s="4"/>
      <c r="C285" s="33" t="s">
        <v>400</v>
      </c>
      <c r="E285" s="1" t="s">
        <v>40</v>
      </c>
      <c r="G285" s="1">
        <v>3</v>
      </c>
      <c r="H285" s="124" t="s">
        <v>13</v>
      </c>
    </row>
    <row r="286" spans="2:8" x14ac:dyDescent="0.2">
      <c r="B286" s="130" t="s">
        <v>713</v>
      </c>
      <c r="C286" s="34" t="s">
        <v>568</v>
      </c>
      <c r="D286" s="35"/>
      <c r="E286" s="35" t="s">
        <v>11</v>
      </c>
      <c r="F286" s="35">
        <v>4</v>
      </c>
      <c r="G286" s="35">
        <v>4</v>
      </c>
      <c r="H286" s="128" t="s">
        <v>13</v>
      </c>
    </row>
    <row r="287" spans="2:8" x14ac:dyDescent="0.2">
      <c r="B287" s="131" t="s">
        <v>567</v>
      </c>
      <c r="C287" s="33" t="s">
        <v>568</v>
      </c>
      <c r="E287" s="1" t="s">
        <v>11</v>
      </c>
      <c r="H287" s="124" t="s">
        <v>13</v>
      </c>
    </row>
    <row r="288" spans="2:8" x14ac:dyDescent="0.2">
      <c r="B288" s="4"/>
      <c r="C288" s="33" t="s">
        <v>401</v>
      </c>
      <c r="E288" s="1" t="s">
        <v>76</v>
      </c>
      <c r="G288" s="1">
        <v>2</v>
      </c>
      <c r="H288" s="124" t="s">
        <v>16</v>
      </c>
    </row>
    <row r="289" spans="2:8" x14ac:dyDescent="0.2">
      <c r="B289" s="131" t="s">
        <v>658</v>
      </c>
      <c r="C289" s="33" t="s">
        <v>659</v>
      </c>
      <c r="D289" s="1" t="s">
        <v>726</v>
      </c>
      <c r="E289" s="1" t="s">
        <v>76</v>
      </c>
      <c r="F289" s="1">
        <v>3</v>
      </c>
      <c r="G289" s="1">
        <v>3</v>
      </c>
      <c r="H289" s="124" t="s">
        <v>13</v>
      </c>
    </row>
    <row r="290" spans="2:8" x14ac:dyDescent="0.2">
      <c r="B290" s="131" t="s">
        <v>569</v>
      </c>
      <c r="C290" s="33" t="s">
        <v>570</v>
      </c>
      <c r="E290" s="1" t="s">
        <v>11</v>
      </c>
      <c r="H290" s="124"/>
    </row>
    <row r="291" spans="2:8" x14ac:dyDescent="0.2">
      <c r="B291" s="4" t="s">
        <v>402</v>
      </c>
      <c r="C291" s="33" t="s">
        <v>403</v>
      </c>
      <c r="D291" s="1">
        <v>2303</v>
      </c>
      <c r="E291" s="1" t="s">
        <v>100</v>
      </c>
      <c r="F291" s="1">
        <v>2</v>
      </c>
      <c r="G291" s="1">
        <v>2</v>
      </c>
      <c r="H291" s="124" t="s">
        <v>7</v>
      </c>
    </row>
    <row r="292" spans="2:8" x14ac:dyDescent="0.2">
      <c r="B292" s="4"/>
      <c r="C292" s="33" t="s">
        <v>404</v>
      </c>
      <c r="E292" s="1" t="s">
        <v>100</v>
      </c>
      <c r="G292" s="1">
        <v>4</v>
      </c>
      <c r="H292" s="124" t="s">
        <v>13</v>
      </c>
    </row>
    <row r="293" spans="2:8" x14ac:dyDescent="0.2">
      <c r="B293" s="131" t="s">
        <v>571</v>
      </c>
      <c r="C293" s="33" t="s">
        <v>572</v>
      </c>
      <c r="E293" s="1" t="s">
        <v>11</v>
      </c>
      <c r="H293" s="124"/>
    </row>
    <row r="294" spans="2:8" x14ac:dyDescent="0.2">
      <c r="B294" s="131"/>
      <c r="C294" s="33" t="s">
        <v>660</v>
      </c>
      <c r="E294" s="1" t="s">
        <v>76</v>
      </c>
      <c r="G294" s="1">
        <v>3</v>
      </c>
      <c r="H294" s="124" t="s">
        <v>13</v>
      </c>
    </row>
    <row r="295" spans="2:8" x14ac:dyDescent="0.2">
      <c r="B295" s="131" t="s">
        <v>405</v>
      </c>
      <c r="C295" s="33" t="s">
        <v>406</v>
      </c>
      <c r="D295" s="1">
        <v>2356</v>
      </c>
      <c r="E295" s="1" t="s">
        <v>36</v>
      </c>
      <c r="F295" s="1">
        <v>2</v>
      </c>
      <c r="G295" s="1">
        <v>2</v>
      </c>
      <c r="H295" s="124" t="s">
        <v>16</v>
      </c>
    </row>
    <row r="296" spans="2:8" x14ac:dyDescent="0.2">
      <c r="B296" s="4" t="s">
        <v>407</v>
      </c>
      <c r="C296" s="33" t="s">
        <v>408</v>
      </c>
      <c r="D296" s="1">
        <v>1727</v>
      </c>
      <c r="E296" s="1" t="s">
        <v>70</v>
      </c>
      <c r="F296" s="1">
        <v>2</v>
      </c>
      <c r="G296" s="1">
        <v>2</v>
      </c>
      <c r="H296" s="124" t="s">
        <v>13</v>
      </c>
    </row>
    <row r="297" spans="2:8" x14ac:dyDescent="0.2">
      <c r="B297" s="131" t="s">
        <v>739</v>
      </c>
      <c r="C297" s="33" t="s">
        <v>661</v>
      </c>
      <c r="D297" s="1">
        <v>2572</v>
      </c>
      <c r="E297" s="1" t="s">
        <v>94</v>
      </c>
      <c r="F297" s="1">
        <v>2</v>
      </c>
      <c r="G297" s="1">
        <v>2</v>
      </c>
      <c r="H297" s="1" t="s">
        <v>13</v>
      </c>
    </row>
    <row r="298" spans="2:8" x14ac:dyDescent="0.2">
      <c r="B298" s="4"/>
      <c r="C298" s="33" t="s">
        <v>409</v>
      </c>
      <c r="E298" s="1" t="s">
        <v>94</v>
      </c>
      <c r="G298" s="1">
        <v>2</v>
      </c>
      <c r="H298" s="1" t="s">
        <v>13</v>
      </c>
    </row>
    <row r="299" spans="2:8" x14ac:dyDescent="0.2">
      <c r="B299" s="4" t="s">
        <v>573</v>
      </c>
      <c r="C299" s="33" t="s">
        <v>410</v>
      </c>
      <c r="D299" s="1">
        <v>2907</v>
      </c>
      <c r="E299" s="1" t="s">
        <v>11</v>
      </c>
      <c r="F299" s="1">
        <v>3</v>
      </c>
      <c r="G299" s="1">
        <v>3</v>
      </c>
      <c r="H299" s="1" t="s">
        <v>13</v>
      </c>
    </row>
    <row r="300" spans="2:8" x14ac:dyDescent="0.2">
      <c r="B300" s="131" t="s">
        <v>411</v>
      </c>
      <c r="C300" s="33" t="s">
        <v>412</v>
      </c>
      <c r="D300" s="1" t="s">
        <v>733</v>
      </c>
      <c r="E300" s="1" t="s">
        <v>76</v>
      </c>
      <c r="F300" s="1">
        <v>3</v>
      </c>
      <c r="G300" s="1">
        <v>2</v>
      </c>
      <c r="H300" s="1" t="s">
        <v>13</v>
      </c>
    </row>
    <row r="301" spans="2:8" x14ac:dyDescent="0.2">
      <c r="B301" s="131" t="s">
        <v>574</v>
      </c>
      <c r="C301" s="33" t="s">
        <v>575</v>
      </c>
      <c r="E301" s="1" t="s">
        <v>76</v>
      </c>
      <c r="F301" s="1">
        <v>1</v>
      </c>
      <c r="G301" s="1">
        <v>1</v>
      </c>
      <c r="H301" s="1" t="s">
        <v>13</v>
      </c>
    </row>
  </sheetData>
  <sheetProtection selectLockedCells="1" selectUnlockedCells="1"/>
  <autoFilter ref="B1:H301" xr:uid="{00000000-0009-0000-0000-000001000000}">
    <sortState xmlns:xlrd2="http://schemas.microsoft.com/office/spreadsheetml/2017/richdata2" ref="B2:H301">
      <sortCondition ref="C1:C301"/>
    </sortState>
  </autoFilter>
  <phoneticPr fontId="4" type="noConversion"/>
  <pageMargins left="0.45" right="0.2" top="0.64027777777777772" bottom="0.49027777777777776" header="0.2" footer="0.51180555555555551"/>
  <pageSetup paperSize="9" firstPageNumber="0" orientation="portrait" horizontalDpi="300" verticalDpi="300" r:id="rId1"/>
  <headerFooter alignWithMargins="0">
    <oddHeader>&amp;C&amp;"Arial,Negrita"&amp;14LISTADO DE TIRADORES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10</xdr:col>
                    <xdr:colOff>19050</xdr:colOff>
                    <xdr:row>1</xdr:row>
                    <xdr:rowOff>9525</xdr:rowOff>
                  </from>
                  <to>
                    <xdr:col>11</xdr:col>
                    <xdr:colOff>352425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509"/>
  <sheetViews>
    <sheetView showGridLines="0" showZeros="0" view="pageBreakPreview" zoomScale="160" zoomScaleSheetLayoutView="160" workbookViewId="0">
      <selection activeCell="N52" sqref="N52"/>
    </sheetView>
  </sheetViews>
  <sheetFormatPr baseColWidth="10" defaultColWidth="11.42578125" defaultRowHeight="45" x14ac:dyDescent="0.6"/>
  <cols>
    <col min="1" max="1" width="11.42578125" style="90" customWidth="1"/>
    <col min="2" max="2" width="7.42578125" style="54" customWidth="1"/>
    <col min="3" max="3" width="10.7109375" style="48" customWidth="1"/>
    <col min="4" max="4" width="15.85546875" style="48" hidden="1" customWidth="1"/>
    <col min="5" max="5" width="41.28515625" style="55" customWidth="1"/>
    <col min="6" max="6" width="11.7109375" style="54" customWidth="1"/>
    <col min="7" max="7" width="8.28515625" style="54" customWidth="1"/>
    <col min="8" max="8" width="10.42578125" style="56" hidden="1" customWidth="1"/>
    <col min="9" max="9" width="11.42578125" style="54"/>
    <col min="10" max="10" width="8.28515625" style="54" customWidth="1"/>
    <col min="11" max="14" width="6" style="54" customWidth="1"/>
    <col min="15" max="15" width="12.28515625" style="48" customWidth="1"/>
    <col min="16" max="16" width="14.5703125" style="48" customWidth="1"/>
    <col min="17" max="17" width="10" style="48" customWidth="1"/>
    <col min="18" max="16384" width="11.42578125" style="48"/>
  </cols>
  <sheetData>
    <row r="1" spans="1:18" ht="25.5" customHeight="1" x14ac:dyDescent="0.6">
      <c r="A1" s="139"/>
      <c r="B1" s="162" t="s">
        <v>496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</row>
    <row r="2" spans="1:18" s="49" customFormat="1" ht="25.5" customHeight="1" x14ac:dyDescent="0.2">
      <c r="A2" s="140"/>
      <c r="B2" s="162" t="s">
        <v>689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</row>
    <row r="3" spans="1:18" s="49" customFormat="1" ht="24" customHeight="1" x14ac:dyDescent="0.2">
      <c r="A3" s="57" t="s">
        <v>413</v>
      </c>
      <c r="B3" s="58" t="s">
        <v>414</v>
      </c>
      <c r="C3" s="100" t="s">
        <v>415</v>
      </c>
      <c r="D3" s="101" t="s">
        <v>112</v>
      </c>
      <c r="E3" s="102" t="s">
        <v>113</v>
      </c>
      <c r="F3" s="103" t="s">
        <v>114</v>
      </c>
      <c r="G3" s="103" t="s">
        <v>416</v>
      </c>
      <c r="H3" s="104" t="s">
        <v>116</v>
      </c>
      <c r="I3" s="105" t="s">
        <v>117</v>
      </c>
      <c r="J3" s="103" t="s">
        <v>417</v>
      </c>
      <c r="K3" s="106" t="s">
        <v>418</v>
      </c>
      <c r="L3" s="106" t="s">
        <v>419</v>
      </c>
      <c r="M3" s="106" t="s">
        <v>420</v>
      </c>
      <c r="N3" s="106" t="s">
        <v>421</v>
      </c>
      <c r="O3" s="107" t="s">
        <v>422</v>
      </c>
      <c r="P3" s="108" t="s">
        <v>423</v>
      </c>
      <c r="Q3" s="109" t="s">
        <v>424</v>
      </c>
    </row>
    <row r="4" spans="1:18" s="49" customFormat="1" ht="15.95" customHeight="1" x14ac:dyDescent="0.2">
      <c r="A4" s="164">
        <v>1</v>
      </c>
      <c r="B4" s="59">
        <v>1</v>
      </c>
      <c r="C4" s="50" t="s">
        <v>425</v>
      </c>
      <c r="D4" s="135" t="s">
        <v>367</v>
      </c>
      <c r="E4" s="62" t="str">
        <f>IFERROR(VLOOKUP(D4,BTiradores!$B$2:$H$327,2,FALSE),"")</f>
        <v>Raul Alonso Saiz</v>
      </c>
      <c r="F4" s="63">
        <f>IFERROR(VLOOKUP(D4,BTiradores!$B$2:$H$327,3,FALSE),"")</f>
        <v>5594</v>
      </c>
      <c r="G4" s="63" t="str">
        <f>IFERROR(VLOOKUP(D4,BTiradores!$B$2:$H$327,4,FALSE),"")</f>
        <v>BU</v>
      </c>
      <c r="H4" s="64">
        <f>IFERROR(VLOOKUP(D4,BTiradores!$B$2:$H$327,5,FALSE),"")</f>
        <v>4</v>
      </c>
      <c r="I4" s="63">
        <f>IFERROR(VLOOKUP(D4,BTiradores!$B$2:$H$327,6,FALSE),"")</f>
        <v>4</v>
      </c>
      <c r="J4" s="63" t="str">
        <f>IFERROR(VLOOKUP(D4,BTiradores!$B$2:$H$327,7,FALSE),"")</f>
        <v>SR</v>
      </c>
      <c r="K4" s="42">
        <v>19</v>
      </c>
      <c r="L4" s="42">
        <v>23</v>
      </c>
      <c r="M4" s="42">
        <v>21</v>
      </c>
      <c r="N4" s="43">
        <v>20</v>
      </c>
      <c r="O4" s="63">
        <f>SUM(K4:N4)</f>
        <v>83</v>
      </c>
      <c r="P4" s="40"/>
      <c r="Q4" s="71">
        <f t="shared" ref="Q4:Q35" si="0">SUM(O4:P4)</f>
        <v>83</v>
      </c>
      <c r="R4" s="49">
        <v>34</v>
      </c>
    </row>
    <row r="5" spans="1:18" s="52" customFormat="1" ht="15.95" customHeight="1" x14ac:dyDescent="0.2">
      <c r="A5" s="164"/>
      <c r="B5" s="59">
        <v>2</v>
      </c>
      <c r="C5" s="51" t="s">
        <v>426</v>
      </c>
      <c r="D5" s="136" t="s">
        <v>376</v>
      </c>
      <c r="E5" s="65" t="str">
        <f>IFERROR(VLOOKUP(D5,BTiradores!$B$2:$H$327,2,FALSE),"")</f>
        <v>Roberto Garcia Arnaiz</v>
      </c>
      <c r="F5" s="66">
        <f>IFERROR(VLOOKUP(D5,BTiradores!$B$2:$H$327,3,FALSE),"")</f>
        <v>2550</v>
      </c>
      <c r="G5" s="66" t="str">
        <f>IFERROR(VLOOKUP(D5,BTiradores!$B$2:$H$327,4,FALSE),"")</f>
        <v>BU</v>
      </c>
      <c r="H5" s="67">
        <f>IFERROR(VLOOKUP(D5,BTiradores!$B$2:$H$327,5,FALSE),"")</f>
        <v>3</v>
      </c>
      <c r="I5" s="66">
        <f>IFERROR(VLOOKUP(D5,BTiradores!$B$2:$H$327,6,FALSE),"")</f>
        <v>3</v>
      </c>
      <c r="J5" s="66" t="str">
        <f>IFERROR(VLOOKUP(D5,BTiradores!$B$2:$H$327,7,FALSE),"")</f>
        <v>SR</v>
      </c>
      <c r="K5" s="43">
        <v>21</v>
      </c>
      <c r="L5" s="43">
        <v>20</v>
      </c>
      <c r="M5" s="43">
        <v>23</v>
      </c>
      <c r="N5" s="43">
        <v>19</v>
      </c>
      <c r="O5" s="66">
        <f>SUM(K5:N5)</f>
        <v>83</v>
      </c>
      <c r="P5" s="39"/>
      <c r="Q5" s="72">
        <f t="shared" si="0"/>
        <v>83</v>
      </c>
      <c r="R5" s="52">
        <v>34</v>
      </c>
    </row>
    <row r="6" spans="1:18" s="52" customFormat="1" ht="15.95" customHeight="1" x14ac:dyDescent="0.2">
      <c r="A6" s="164"/>
      <c r="B6" s="59">
        <v>3</v>
      </c>
      <c r="C6" s="51" t="s">
        <v>427</v>
      </c>
      <c r="D6" s="136" t="s">
        <v>325</v>
      </c>
      <c r="E6" s="65" t="str">
        <f>IFERROR(VLOOKUP(D6,BTiradores!$B$2:$H$327,2,FALSE),"")</f>
        <v>Mariano Pardo Gonzalez</v>
      </c>
      <c r="F6" s="66">
        <f>IFERROR(VLOOKUP(D6,BTiradores!$B$2:$H$327,3,FALSE),"")</f>
        <v>2465</v>
      </c>
      <c r="G6" s="66" t="str">
        <f>IFERROR(VLOOKUP(D6,BTiradores!$B$2:$H$327,4,FALSE),"")</f>
        <v>BU</v>
      </c>
      <c r="H6" s="67">
        <f>IFERROR(VLOOKUP(D6,BTiradores!$B$2:$H$327,5,FALSE),"")</f>
        <v>1</v>
      </c>
      <c r="I6" s="66">
        <f>IFERROR(VLOOKUP(D6,BTiradores!$B$2:$H$327,6,FALSE),"")</f>
        <v>1</v>
      </c>
      <c r="J6" s="66" t="str">
        <f>IFERROR(VLOOKUP(D6,BTiradores!$B$2:$H$327,7,FALSE),"")</f>
        <v>SR</v>
      </c>
      <c r="K6" s="43">
        <v>25</v>
      </c>
      <c r="L6" s="43">
        <v>25</v>
      </c>
      <c r="M6" s="43">
        <v>21</v>
      </c>
      <c r="N6" s="43">
        <v>22</v>
      </c>
      <c r="O6" s="66">
        <f t="shared" ref="O6:O35" si="1">SUM(K6:N6)</f>
        <v>93</v>
      </c>
      <c r="P6" s="39"/>
      <c r="Q6" s="72">
        <f t="shared" si="0"/>
        <v>93</v>
      </c>
      <c r="R6" s="52">
        <v>34</v>
      </c>
    </row>
    <row r="7" spans="1:18" s="52" customFormat="1" ht="15.95" customHeight="1" x14ac:dyDescent="0.2">
      <c r="A7" s="164"/>
      <c r="B7" s="59">
        <v>4</v>
      </c>
      <c r="C7" s="51" t="s">
        <v>428</v>
      </c>
      <c r="D7" s="136" t="s">
        <v>364</v>
      </c>
      <c r="E7" s="65" t="str">
        <f>IFERROR(VLOOKUP(D7,BTiradores!$B$2:$H$327,2,FALSE),"")</f>
        <v>Ramon Martinez Lopez</v>
      </c>
      <c r="F7" s="66">
        <f>IFERROR(VLOOKUP(D7,BTiradores!$B$2:$H$327,3,FALSE),"")</f>
        <v>1202</v>
      </c>
      <c r="G7" s="66" t="str">
        <f>IFERROR(VLOOKUP(D7,BTiradores!$B$2:$H$327,4,FALSE),"")</f>
        <v>BU</v>
      </c>
      <c r="H7" s="67">
        <f>IFERROR(VLOOKUP(D7,BTiradores!$B$2:$H$327,5,FALSE),"")</f>
        <v>4</v>
      </c>
      <c r="I7" s="66">
        <f>IFERROR(VLOOKUP(D7,BTiradores!$B$2:$H$327,6,FALSE),"")</f>
        <v>4</v>
      </c>
      <c r="J7" s="66" t="str">
        <f>IFERROR(VLOOKUP(D7,BTiradores!$B$2:$H$327,7,FALSE),"")</f>
        <v>VET</v>
      </c>
      <c r="K7" s="43">
        <v>19</v>
      </c>
      <c r="L7" s="43">
        <v>21</v>
      </c>
      <c r="M7" s="43">
        <v>18</v>
      </c>
      <c r="N7" s="43">
        <v>19</v>
      </c>
      <c r="O7" s="66">
        <f t="shared" si="1"/>
        <v>77</v>
      </c>
      <c r="P7" s="39"/>
      <c r="Q7" s="72">
        <f t="shared" si="0"/>
        <v>77</v>
      </c>
      <c r="R7" s="52">
        <v>24</v>
      </c>
    </row>
    <row r="8" spans="1:18" s="52" customFormat="1" ht="15.95" customHeight="1" x14ac:dyDescent="0.2">
      <c r="A8" s="164"/>
      <c r="B8" s="59">
        <v>5</v>
      </c>
      <c r="C8" s="51" t="s">
        <v>429</v>
      </c>
      <c r="D8" s="136" t="s">
        <v>140</v>
      </c>
      <c r="E8" s="65" t="str">
        <f>IFERROR(VLOOKUP(D8,BTiradores!$B$2:$H$327,2,FALSE),"")</f>
        <v>Antonio Saiz Antolin "FARRU"</v>
      </c>
      <c r="F8" s="66">
        <f>IFERROR(VLOOKUP(D8,BTiradores!$B$2:$H$327,3,FALSE),"")</f>
        <v>2456</v>
      </c>
      <c r="G8" s="66" t="str">
        <f>IFERROR(VLOOKUP(D8,BTiradores!$B$2:$H$327,4,FALSE),"")</f>
        <v>BU</v>
      </c>
      <c r="H8" s="67">
        <f>IFERROR(VLOOKUP(D8,BTiradores!$B$2:$H$327,5,FALSE),"")</f>
        <v>4</v>
      </c>
      <c r="I8" s="66">
        <f>IFERROR(VLOOKUP(D8,BTiradores!$B$2:$H$327,6,FALSE),"")</f>
        <v>4</v>
      </c>
      <c r="J8" s="66" t="str">
        <f>IFERROR(VLOOKUP(D8,BTiradores!$B$2:$H$327,7,FALSE),"")</f>
        <v>SR</v>
      </c>
      <c r="K8" s="43">
        <v>17</v>
      </c>
      <c r="L8" s="43">
        <v>21</v>
      </c>
      <c r="M8" s="43">
        <v>22</v>
      </c>
      <c r="N8" s="43">
        <v>18</v>
      </c>
      <c r="O8" s="66">
        <f t="shared" si="1"/>
        <v>78</v>
      </c>
      <c r="P8" s="39"/>
      <c r="Q8" s="72">
        <f t="shared" si="0"/>
        <v>78</v>
      </c>
      <c r="R8" s="52">
        <v>34</v>
      </c>
    </row>
    <row r="9" spans="1:18" s="52" customFormat="1" ht="15.95" customHeight="1" x14ac:dyDescent="0.2">
      <c r="A9" s="164"/>
      <c r="B9" s="59">
        <v>6</v>
      </c>
      <c r="C9" s="53" t="s">
        <v>430</v>
      </c>
      <c r="D9" s="137" t="s">
        <v>383</v>
      </c>
      <c r="E9" s="68" t="str">
        <f>IFERROR(VLOOKUP(D9,BTiradores!$B$2:$H$327,2,FALSE),"")</f>
        <v>Roberto Santamaria Alonso</v>
      </c>
      <c r="F9" s="69">
        <f>IFERROR(VLOOKUP(D9,BTiradores!$B$2:$H$327,3,FALSE),"")</f>
        <v>0</v>
      </c>
      <c r="G9" s="69" t="str">
        <f>IFERROR(VLOOKUP(D9,BTiradores!$B$2:$H$327,4,FALSE),"")</f>
        <v>BU</v>
      </c>
      <c r="H9" s="70">
        <f>IFERROR(VLOOKUP(D9,BTiradores!$B$2:$H$327,5,FALSE),"")</f>
        <v>3</v>
      </c>
      <c r="I9" s="69">
        <f>IFERROR(VLOOKUP(D9,BTiradores!$B$2:$H$327,6,FALSE),"")</f>
        <v>3</v>
      </c>
      <c r="J9" s="69" t="str">
        <f>IFERROR(VLOOKUP(D9,BTiradores!$B$2:$H$327,7,FALSE),"")</f>
        <v>SR</v>
      </c>
      <c r="K9" s="44">
        <v>17</v>
      </c>
      <c r="L9" s="44">
        <v>20</v>
      </c>
      <c r="M9" s="44">
        <v>22</v>
      </c>
      <c r="N9" s="44">
        <v>22</v>
      </c>
      <c r="O9" s="69">
        <f t="shared" si="1"/>
        <v>81</v>
      </c>
      <c r="P9" s="41"/>
      <c r="Q9" s="73">
        <f t="shared" si="0"/>
        <v>81</v>
      </c>
      <c r="R9" s="52">
        <v>34</v>
      </c>
    </row>
    <row r="10" spans="1:18" s="52" customFormat="1" ht="15.95" customHeight="1" x14ac:dyDescent="0.2">
      <c r="A10" s="165">
        <v>2</v>
      </c>
      <c r="B10" s="61">
        <v>7</v>
      </c>
      <c r="C10" s="51" t="s">
        <v>431</v>
      </c>
      <c r="D10" s="135" t="s">
        <v>673</v>
      </c>
      <c r="E10" s="65" t="str">
        <f>IFERROR(VLOOKUP(D10,BTiradores!$B$2:$H$327,2,FALSE),"")</f>
        <v>Pascual Pacheco Pacheco</v>
      </c>
      <c r="F10" s="66">
        <f>IFERROR(VLOOKUP(D10,BTiradores!$B$2:$H$327,3,FALSE),"")</f>
        <v>0</v>
      </c>
      <c r="G10" s="66" t="str">
        <f>IFERROR(VLOOKUP(D10,BTiradores!$B$2:$H$327,4,FALSE),"")</f>
        <v>SG</v>
      </c>
      <c r="H10" s="67">
        <f>IFERROR(VLOOKUP(D10,BTiradores!$B$2:$H$327,5,FALSE),"")</f>
        <v>1</v>
      </c>
      <c r="I10" s="66">
        <f>IFERROR(VLOOKUP(D10,BTiradores!$B$2:$H$327,6,FALSE),"")</f>
        <v>1</v>
      </c>
      <c r="J10" s="66" t="str">
        <f>IFERROR(VLOOKUP(D10,BTiradores!$B$2:$H$327,7,FALSE),"")</f>
        <v>SR</v>
      </c>
      <c r="K10" s="43">
        <v>24</v>
      </c>
      <c r="L10" s="43">
        <v>24</v>
      </c>
      <c r="M10" s="43">
        <v>21</v>
      </c>
      <c r="N10" s="43">
        <v>25</v>
      </c>
      <c r="O10" s="66">
        <f t="shared" si="1"/>
        <v>94</v>
      </c>
      <c r="P10" s="39"/>
      <c r="Q10" s="66">
        <f t="shared" si="0"/>
        <v>94</v>
      </c>
      <c r="R10" s="52">
        <v>34</v>
      </c>
    </row>
    <row r="11" spans="1:18" s="52" customFormat="1" ht="15.95" customHeight="1" x14ac:dyDescent="0.2">
      <c r="A11" s="165"/>
      <c r="B11" s="61">
        <v>8</v>
      </c>
      <c r="C11" s="51" t="s">
        <v>432</v>
      </c>
      <c r="D11" s="136" t="s">
        <v>705</v>
      </c>
      <c r="E11" s="65" t="str">
        <f>IFERROR(VLOOKUP(D11,BTiradores!$B$2:$H$327,2,FALSE),"")</f>
        <v>Julio Jimenez Alvarez</v>
      </c>
      <c r="F11" s="66">
        <f>IFERROR(VLOOKUP(D11,BTiradores!$B$2:$H$327,3,FALSE),"")</f>
        <v>1725</v>
      </c>
      <c r="G11" s="66" t="str">
        <f>IFERROR(VLOOKUP(D11,BTiradores!$B$2:$H$327,4,FALSE),"")</f>
        <v>SG</v>
      </c>
      <c r="H11" s="67">
        <f>IFERROR(VLOOKUP(D11,BTiradores!$B$2:$H$327,5,FALSE),"")</f>
        <v>1</v>
      </c>
      <c r="I11" s="66">
        <f>IFERROR(VLOOKUP(D11,BTiradores!$B$2:$H$327,6,FALSE),"")</f>
        <v>1</v>
      </c>
      <c r="J11" s="66" t="str">
        <f>IFERROR(VLOOKUP(D11,BTiradores!$B$2:$H$327,7,FALSE),"")</f>
        <v>SR</v>
      </c>
      <c r="K11" s="43">
        <v>23</v>
      </c>
      <c r="L11" s="43">
        <v>24</v>
      </c>
      <c r="M11" s="43">
        <v>25</v>
      </c>
      <c r="N11" s="43">
        <v>24</v>
      </c>
      <c r="O11" s="66">
        <f t="shared" si="1"/>
        <v>96</v>
      </c>
      <c r="P11" s="39"/>
      <c r="Q11" s="66">
        <f t="shared" si="0"/>
        <v>96</v>
      </c>
      <c r="R11" s="52">
        <v>34</v>
      </c>
    </row>
    <row r="12" spans="1:18" s="52" customFormat="1" ht="15.95" customHeight="1" x14ac:dyDescent="0.2">
      <c r="A12" s="165"/>
      <c r="B12" s="61">
        <v>9</v>
      </c>
      <c r="C12" s="51" t="s">
        <v>433</v>
      </c>
      <c r="D12" s="136" t="s">
        <v>674</v>
      </c>
      <c r="E12" s="65" t="str">
        <f>IFERROR(VLOOKUP(D12,BTiradores!$B$2:$H$327,2,FALSE),"")</f>
        <v xml:space="preserve">Gregorio Fuentes Manzano </v>
      </c>
      <c r="F12" s="66">
        <f>IFERROR(VLOOKUP(D12,BTiradores!$B$2:$H$327,3,FALSE),"")</f>
        <v>0</v>
      </c>
      <c r="G12" s="66" t="str">
        <f>IFERROR(VLOOKUP(D12,BTiradores!$B$2:$H$327,4,FALSE),"")</f>
        <v>M</v>
      </c>
      <c r="H12" s="67">
        <f>IFERROR(VLOOKUP(D12,BTiradores!$B$2:$H$327,5,FALSE),"")</f>
        <v>1</v>
      </c>
      <c r="I12" s="66">
        <f>IFERROR(VLOOKUP(D12,BTiradores!$B$2:$H$327,6,FALSE),"")</f>
        <v>1</v>
      </c>
      <c r="J12" s="66" t="str">
        <f>IFERROR(VLOOKUP(D12,BTiradores!$B$2:$H$327,7,FALSE),"")</f>
        <v>SR</v>
      </c>
      <c r="K12" s="43">
        <v>25</v>
      </c>
      <c r="L12" s="43">
        <v>23</v>
      </c>
      <c r="M12" s="43">
        <v>23</v>
      </c>
      <c r="N12" s="43">
        <v>24</v>
      </c>
      <c r="O12" s="66">
        <f t="shared" si="1"/>
        <v>95</v>
      </c>
      <c r="P12" s="39"/>
      <c r="Q12" s="66">
        <f t="shared" si="0"/>
        <v>95</v>
      </c>
      <c r="R12" s="52">
        <v>34</v>
      </c>
    </row>
    <row r="13" spans="1:18" s="52" customFormat="1" ht="15.95" customHeight="1" x14ac:dyDescent="0.2">
      <c r="A13" s="165"/>
      <c r="B13" s="61">
        <v>10</v>
      </c>
      <c r="C13" s="51" t="s">
        <v>434</v>
      </c>
      <c r="D13" s="136" t="s">
        <v>271</v>
      </c>
      <c r="E13" s="65" t="str">
        <f>IFERROR(VLOOKUP(D13,BTiradores!$B$2:$H$327,2,FALSE),"")</f>
        <v>Jose Luis Medina Martinez</v>
      </c>
      <c r="F13" s="66" t="str">
        <f>IFERROR(VLOOKUP(D13,BTiradores!$B$2:$H$327,3,FALSE),"")</f>
        <v>0335-A</v>
      </c>
      <c r="G13" s="66" t="str">
        <f>IFERROR(VLOOKUP(D13,BTiradores!$B$2:$H$327,4,FALSE),"")</f>
        <v>VI</v>
      </c>
      <c r="H13" s="67">
        <f>IFERROR(VLOOKUP(D13,BTiradores!$B$2:$H$327,5,FALSE),"")</f>
        <v>3</v>
      </c>
      <c r="I13" s="66">
        <f>IFERROR(VLOOKUP(D13,BTiradores!$B$2:$H$327,6,FALSE),"")</f>
        <v>3</v>
      </c>
      <c r="J13" s="66" t="str">
        <f>IFERROR(VLOOKUP(D13,BTiradores!$B$2:$H$327,7,FALSE),"")</f>
        <v>VET</v>
      </c>
      <c r="K13" s="43">
        <v>20</v>
      </c>
      <c r="L13" s="43">
        <v>18</v>
      </c>
      <c r="M13" s="43">
        <v>22</v>
      </c>
      <c r="N13" s="43">
        <v>16</v>
      </c>
      <c r="O13" s="66">
        <f t="shared" si="1"/>
        <v>76</v>
      </c>
      <c r="P13" s="39"/>
      <c r="Q13" s="66">
        <f t="shared" si="0"/>
        <v>76</v>
      </c>
      <c r="R13" s="52">
        <v>34</v>
      </c>
    </row>
    <row r="14" spans="1:18" s="52" customFormat="1" ht="15.95" customHeight="1" x14ac:dyDescent="0.2">
      <c r="A14" s="165"/>
      <c r="B14" s="61">
        <v>11</v>
      </c>
      <c r="C14" s="51" t="s">
        <v>435</v>
      </c>
      <c r="D14" s="136" t="s">
        <v>706</v>
      </c>
      <c r="E14" s="65" t="str">
        <f>IFERROR(VLOOKUP(D14,BTiradores!$B$2:$H$327,2,FALSE),"")</f>
        <v>Josu Mendina Diz</v>
      </c>
      <c r="F14" s="66" t="str">
        <f>IFERROR(VLOOKUP(D14,BTiradores!$B$2:$H$327,3,FALSE),"")</f>
        <v>2015-A</v>
      </c>
      <c r="G14" s="66" t="str">
        <f>IFERROR(VLOOKUP(D14,BTiradores!$B$2:$H$327,4,FALSE),"")</f>
        <v>VI</v>
      </c>
      <c r="H14" s="67">
        <f>IFERROR(VLOOKUP(D14,BTiradores!$B$2:$H$327,5,FALSE),"")</f>
        <v>2</v>
      </c>
      <c r="I14" s="66">
        <f>IFERROR(VLOOKUP(D14,BTiradores!$B$2:$H$327,6,FALSE),"")</f>
        <v>2</v>
      </c>
      <c r="J14" s="66" t="str">
        <f>IFERROR(VLOOKUP(D14,BTiradores!$B$2:$H$327,7,FALSE),"")</f>
        <v>JR</v>
      </c>
      <c r="K14" s="43">
        <v>20</v>
      </c>
      <c r="L14" s="43">
        <v>21</v>
      </c>
      <c r="M14" s="43">
        <v>23</v>
      </c>
      <c r="N14" s="43">
        <v>20</v>
      </c>
      <c r="O14" s="66">
        <f t="shared" si="1"/>
        <v>84</v>
      </c>
      <c r="P14" s="39"/>
      <c r="Q14" s="66">
        <f t="shared" si="0"/>
        <v>84</v>
      </c>
      <c r="R14" s="52">
        <v>34</v>
      </c>
    </row>
    <row r="15" spans="1:18" s="52" customFormat="1" ht="15.95" customHeight="1" x14ac:dyDescent="0.2">
      <c r="A15" s="165"/>
      <c r="B15" s="61">
        <v>12</v>
      </c>
      <c r="C15" s="51" t="s">
        <v>436</v>
      </c>
      <c r="D15" s="137" t="s">
        <v>308</v>
      </c>
      <c r="E15" s="65" t="str">
        <f>IFERROR(VLOOKUP(D15,BTiradores!$B$2:$H$327,2,FALSE),"")</f>
        <v>Julian Ochoa Bartolome</v>
      </c>
      <c r="F15" s="66">
        <f>IFERROR(VLOOKUP(D15,BTiradores!$B$2:$H$327,3,FALSE),"")</f>
        <v>2536</v>
      </c>
      <c r="G15" s="66" t="str">
        <f>IFERROR(VLOOKUP(D15,BTiradores!$B$2:$H$327,4,FALSE),"")</f>
        <v>BU</v>
      </c>
      <c r="H15" s="67">
        <f>IFERROR(VLOOKUP(D15,BTiradores!$B$2:$H$327,5,FALSE),"")</f>
        <v>2</v>
      </c>
      <c r="I15" s="66">
        <f>IFERROR(VLOOKUP(D15,BTiradores!$B$2:$H$327,6,FALSE),"")</f>
        <v>2</v>
      </c>
      <c r="J15" s="66" t="str">
        <f>IFERROR(VLOOKUP(D15,BTiradores!$B$2:$H$327,7,FALSE),"")</f>
        <v>SR</v>
      </c>
      <c r="K15" s="43">
        <v>23</v>
      </c>
      <c r="L15" s="43">
        <v>23</v>
      </c>
      <c r="M15" s="43">
        <v>22</v>
      </c>
      <c r="N15" s="43">
        <v>25</v>
      </c>
      <c r="O15" s="66">
        <f t="shared" si="1"/>
        <v>93</v>
      </c>
      <c r="P15" s="39"/>
      <c r="Q15" s="66">
        <f t="shared" si="0"/>
        <v>93</v>
      </c>
      <c r="R15" s="52">
        <v>34</v>
      </c>
    </row>
    <row r="16" spans="1:18" s="52" customFormat="1" ht="15.95" customHeight="1" x14ac:dyDescent="0.2">
      <c r="A16" s="164">
        <v>3</v>
      </c>
      <c r="B16" s="59">
        <v>13</v>
      </c>
      <c r="C16" s="50" t="s">
        <v>437</v>
      </c>
      <c r="D16" s="136" t="s">
        <v>299</v>
      </c>
      <c r="E16" s="62" t="str">
        <f>IFERROR(VLOOKUP(D16,BTiradores!$B$2:$H$327,2,FALSE),"")</f>
        <v xml:space="preserve">Juan Jesus Andino Juarros </v>
      </c>
      <c r="F16" s="63" t="str">
        <f>IFERROR(VLOOKUP(D16,BTiradores!$B$2:$H$327,3,FALSE),"")</f>
        <v>4234-B</v>
      </c>
      <c r="G16" s="63" t="str">
        <f>IFERROR(VLOOKUP(D16,BTiradores!$B$2:$H$327,4,FALSE),"")</f>
        <v>BI</v>
      </c>
      <c r="H16" s="64">
        <f>IFERROR(VLOOKUP(D16,BTiradores!$B$2:$H$327,5,FALSE),"")</f>
        <v>3</v>
      </c>
      <c r="I16" s="63">
        <f>IFERROR(VLOOKUP(D16,BTiradores!$B$2:$H$327,6,FALSE),"")</f>
        <v>3</v>
      </c>
      <c r="J16" s="63" t="str">
        <f>IFERROR(VLOOKUP(D16,BTiradores!$B$2:$H$327,7,FALSE),"")</f>
        <v>VET</v>
      </c>
      <c r="K16" s="42">
        <v>21</v>
      </c>
      <c r="L16" s="42">
        <v>19</v>
      </c>
      <c r="M16" s="42">
        <v>16</v>
      </c>
      <c r="N16" s="42">
        <v>21</v>
      </c>
      <c r="O16" s="63">
        <f t="shared" si="1"/>
        <v>77</v>
      </c>
      <c r="P16" s="40"/>
      <c r="Q16" s="71">
        <f t="shared" si="0"/>
        <v>77</v>
      </c>
      <c r="R16" s="52">
        <v>34</v>
      </c>
    </row>
    <row r="17" spans="1:18" s="52" customFormat="1" ht="15.95" customHeight="1" x14ac:dyDescent="0.2">
      <c r="A17" s="164"/>
      <c r="B17" s="59">
        <v>14</v>
      </c>
      <c r="C17" s="51" t="s">
        <v>438</v>
      </c>
      <c r="D17" s="136" t="s">
        <v>743</v>
      </c>
      <c r="E17" s="65" t="str">
        <f>IFERROR(VLOOKUP(D17,BTiradores!$B$2:$H$327,2,FALSE),"")</f>
        <v>Esteban Lopez</v>
      </c>
      <c r="F17" s="66">
        <f>IFERROR(VLOOKUP(D17,BTiradores!$B$2:$H$327,3,FALSE),"")</f>
        <v>0</v>
      </c>
      <c r="G17" s="66" t="str">
        <f>IFERROR(VLOOKUP(D17,BTiradores!$B$2:$H$327,4,FALSE),"")</f>
        <v>BI</v>
      </c>
      <c r="H17" s="67">
        <f>IFERROR(VLOOKUP(D17,BTiradores!$B$2:$H$327,5,FALSE),"")</f>
        <v>2</v>
      </c>
      <c r="I17" s="66">
        <f>IFERROR(VLOOKUP(D17,BTiradores!$B$2:$H$327,6,FALSE),"")</f>
        <v>2</v>
      </c>
      <c r="J17" s="66" t="str">
        <f>IFERROR(VLOOKUP(D17,BTiradores!$B$2:$H$327,7,FALSE),"")</f>
        <v>SR</v>
      </c>
      <c r="K17" s="43">
        <v>24</v>
      </c>
      <c r="L17" s="43">
        <v>24</v>
      </c>
      <c r="M17" s="43">
        <v>22</v>
      </c>
      <c r="N17" s="43">
        <v>25</v>
      </c>
      <c r="O17" s="66">
        <f t="shared" si="1"/>
        <v>95</v>
      </c>
      <c r="P17" s="39"/>
      <c r="Q17" s="72">
        <f t="shared" si="0"/>
        <v>95</v>
      </c>
      <c r="R17" s="52">
        <v>34</v>
      </c>
    </row>
    <row r="18" spans="1:18" s="52" customFormat="1" ht="15.95" customHeight="1" x14ac:dyDescent="0.2">
      <c r="A18" s="164"/>
      <c r="B18" s="59">
        <v>15</v>
      </c>
      <c r="C18" s="51" t="s">
        <v>439</v>
      </c>
      <c r="D18" s="136" t="s">
        <v>175</v>
      </c>
      <c r="E18" s="65" t="str">
        <f>IFERROR(VLOOKUP(D18,BTiradores!$B$2:$H$327,2,FALSE),"")</f>
        <v>Enrique Ruiz Ruiz</v>
      </c>
      <c r="F18" s="66" t="str">
        <f>IFERROR(VLOOKUP(D18,BTiradores!$B$2:$H$327,3,FALSE),"")</f>
        <v>5203-B</v>
      </c>
      <c r="G18" s="66" t="str">
        <f>IFERROR(VLOOKUP(D18,BTiradores!$B$2:$H$327,4,FALSE),"")</f>
        <v>BI</v>
      </c>
      <c r="H18" s="67">
        <f>IFERROR(VLOOKUP(D18,BTiradores!$B$2:$H$327,5,FALSE),"")</f>
        <v>2</v>
      </c>
      <c r="I18" s="66">
        <f>IFERROR(VLOOKUP(D18,BTiradores!$B$2:$H$327,6,FALSE),"")</f>
        <v>2</v>
      </c>
      <c r="J18" s="66" t="str">
        <f>IFERROR(VLOOKUP(D18,BTiradores!$B$2:$H$327,7,FALSE),"")</f>
        <v>SR</v>
      </c>
      <c r="K18" s="43">
        <v>23</v>
      </c>
      <c r="L18" s="43">
        <v>21</v>
      </c>
      <c r="M18" s="43">
        <v>24</v>
      </c>
      <c r="N18" s="43">
        <v>23</v>
      </c>
      <c r="O18" s="66">
        <f t="shared" si="1"/>
        <v>91</v>
      </c>
      <c r="P18" s="39"/>
      <c r="Q18" s="72">
        <f t="shared" si="0"/>
        <v>91</v>
      </c>
      <c r="R18" s="52">
        <v>34</v>
      </c>
    </row>
    <row r="19" spans="1:18" s="52" customFormat="1" ht="15.95" customHeight="1" x14ac:dyDescent="0.2">
      <c r="A19" s="164"/>
      <c r="B19" s="59">
        <v>16</v>
      </c>
      <c r="C19" s="51" t="s">
        <v>440</v>
      </c>
      <c r="D19" s="136" t="s">
        <v>679</v>
      </c>
      <c r="E19" s="65" t="str">
        <f>IFERROR(VLOOKUP(D19,BTiradores!$B$2:$H$327,2,FALSE),"")</f>
        <v>Galder Garcia Astigarraga</v>
      </c>
      <c r="F19" s="66">
        <f>IFERROR(VLOOKUP(D19,BTiradores!$B$2:$H$327,3,FALSE),"")</f>
        <v>6865</v>
      </c>
      <c r="G19" s="66" t="str">
        <f>IFERROR(VLOOKUP(D19,BTiradores!$B$2:$H$327,4,FALSE),"")</f>
        <v>BI</v>
      </c>
      <c r="H19" s="67">
        <f>IFERROR(VLOOKUP(D19,BTiradores!$B$2:$H$327,5,FALSE),"")</f>
        <v>3</v>
      </c>
      <c r="I19" s="66">
        <f>IFERROR(VLOOKUP(D19,BTiradores!$B$2:$H$327,6,FALSE),"")</f>
        <v>3</v>
      </c>
      <c r="J19" s="66" t="str">
        <f>IFERROR(VLOOKUP(D19,BTiradores!$B$2:$H$327,7,FALSE),"")</f>
        <v>JR</v>
      </c>
      <c r="K19" s="43">
        <v>21</v>
      </c>
      <c r="L19" s="43">
        <v>23</v>
      </c>
      <c r="M19" s="43">
        <v>23</v>
      </c>
      <c r="N19" s="43">
        <v>22</v>
      </c>
      <c r="O19" s="66">
        <f t="shared" si="1"/>
        <v>89</v>
      </c>
      <c r="P19" s="39"/>
      <c r="Q19" s="72">
        <f t="shared" si="0"/>
        <v>89</v>
      </c>
      <c r="R19" s="52">
        <v>24</v>
      </c>
    </row>
    <row r="20" spans="1:18" s="52" customFormat="1" ht="15.95" customHeight="1" x14ac:dyDescent="0.2">
      <c r="A20" s="164"/>
      <c r="B20" s="59">
        <v>17</v>
      </c>
      <c r="C20" s="51" t="s">
        <v>441</v>
      </c>
      <c r="D20" s="136" t="s">
        <v>750</v>
      </c>
      <c r="E20" s="65" t="str">
        <f>IFERROR(VLOOKUP(D20,BTiradores!$B$2:$H$327,2,FALSE),"")</f>
        <v>Javier Echevarria</v>
      </c>
      <c r="F20" s="66">
        <f>IFERROR(VLOOKUP(D20,BTiradores!$B$2:$H$327,3,FALSE),"")</f>
        <v>0</v>
      </c>
      <c r="G20" s="66" t="str">
        <f>IFERROR(VLOOKUP(D20,BTiradores!$B$2:$H$327,4,FALSE),"")</f>
        <v>BI</v>
      </c>
      <c r="H20" s="67">
        <f>IFERROR(VLOOKUP(D20,BTiradores!$B$2:$H$327,5,FALSE),"")</f>
        <v>2</v>
      </c>
      <c r="I20" s="66">
        <f>IFERROR(VLOOKUP(D20,BTiradores!$B$2:$H$327,6,FALSE),"")</f>
        <v>2</v>
      </c>
      <c r="J20" s="66" t="str">
        <f>IFERROR(VLOOKUP(D20,BTiradores!$B$2:$H$327,7,FALSE),"")</f>
        <v>SR</v>
      </c>
      <c r="K20" s="43">
        <v>23</v>
      </c>
      <c r="L20" s="43">
        <v>22</v>
      </c>
      <c r="M20" s="43">
        <v>24</v>
      </c>
      <c r="N20" s="43">
        <v>22</v>
      </c>
      <c r="O20" s="66">
        <f t="shared" si="1"/>
        <v>91</v>
      </c>
      <c r="P20" s="39"/>
      <c r="Q20" s="72">
        <f t="shared" si="0"/>
        <v>91</v>
      </c>
      <c r="R20" s="52">
        <v>24</v>
      </c>
    </row>
    <row r="21" spans="1:18" s="52" customFormat="1" ht="15.95" customHeight="1" x14ac:dyDescent="0.2">
      <c r="A21" s="164"/>
      <c r="B21" s="59">
        <v>18</v>
      </c>
      <c r="C21" s="53" t="s">
        <v>442</v>
      </c>
      <c r="D21" s="136" t="s">
        <v>269</v>
      </c>
      <c r="E21" s="68" t="str">
        <f>IFERROR(VLOOKUP(D21,BTiradores!$B$2:$H$327,2,FALSE),"")</f>
        <v>Jose Luis Beitia Goicolea</v>
      </c>
      <c r="F21" s="69" t="str">
        <f>IFERROR(VLOOKUP(D21,BTiradores!$B$2:$H$327,3,FALSE),"")</f>
        <v>0195-B</v>
      </c>
      <c r="G21" s="69" t="str">
        <f>IFERROR(VLOOKUP(D21,BTiradores!$B$2:$H$327,4,FALSE),"")</f>
        <v>BI</v>
      </c>
      <c r="H21" s="70">
        <f>IFERROR(VLOOKUP(D21,BTiradores!$B$2:$H$327,5,FALSE),"")</f>
        <v>2</v>
      </c>
      <c r="I21" s="69">
        <f>IFERROR(VLOOKUP(D21,BTiradores!$B$2:$H$327,6,FALSE),"")</f>
        <v>2</v>
      </c>
      <c r="J21" s="69" t="str">
        <f>IFERROR(VLOOKUP(D21,BTiradores!$B$2:$H$327,7,FALSE),"")</f>
        <v>SR</v>
      </c>
      <c r="K21" s="44">
        <v>22</v>
      </c>
      <c r="L21" s="44">
        <v>20</v>
      </c>
      <c r="M21" s="44">
        <v>24</v>
      </c>
      <c r="N21" s="41">
        <v>24</v>
      </c>
      <c r="O21" s="69">
        <f t="shared" si="1"/>
        <v>90</v>
      </c>
      <c r="P21" s="41"/>
      <c r="Q21" s="73">
        <f t="shared" si="0"/>
        <v>90</v>
      </c>
      <c r="R21" s="52">
        <v>34</v>
      </c>
    </row>
    <row r="22" spans="1:18" s="52" customFormat="1" ht="15.95" customHeight="1" x14ac:dyDescent="0.2">
      <c r="A22" s="165">
        <v>4</v>
      </c>
      <c r="B22" s="61">
        <v>19</v>
      </c>
      <c r="C22" s="51" t="s">
        <v>443</v>
      </c>
      <c r="D22" s="136" t="s">
        <v>681</v>
      </c>
      <c r="E22" s="65" t="str">
        <f>IFERROR(VLOOKUP(D22,BTiradores!$B$2:$H$327,2,FALSE),"")</f>
        <v>Jose Luis Miguel "BILLI"</v>
      </c>
      <c r="F22" s="66">
        <f>IFERROR(VLOOKUP(D22,BTiradores!$B$2:$H$327,3,FALSE),"")</f>
        <v>1289</v>
      </c>
      <c r="G22" s="66" t="str">
        <f>IFERROR(VLOOKUP(D22,BTiradores!$B$2:$H$327,4,FALSE),"")</f>
        <v>SG</v>
      </c>
      <c r="H22" s="67">
        <f>IFERROR(VLOOKUP(D22,BTiradores!$B$2:$H$327,5,FALSE),"")</f>
        <v>2</v>
      </c>
      <c r="I22" s="66">
        <f>IFERROR(VLOOKUP(D22,BTiradores!$B$2:$H$327,6,FALSE),"")</f>
        <v>2</v>
      </c>
      <c r="J22" s="66" t="str">
        <f>IFERROR(VLOOKUP(D22,BTiradores!$B$2:$H$327,7,FALSE),"")</f>
        <v>SR</v>
      </c>
      <c r="K22" s="43">
        <v>25</v>
      </c>
      <c r="L22" s="43">
        <v>23</v>
      </c>
      <c r="M22" s="43">
        <v>24</v>
      </c>
      <c r="N22" s="43">
        <v>22</v>
      </c>
      <c r="O22" s="66">
        <f t="shared" si="1"/>
        <v>94</v>
      </c>
      <c r="P22" s="39"/>
      <c r="Q22" s="66">
        <f t="shared" si="0"/>
        <v>94</v>
      </c>
      <c r="R22" s="52">
        <v>34</v>
      </c>
    </row>
    <row r="23" spans="1:18" s="52" customFormat="1" ht="15.95" customHeight="1" x14ac:dyDescent="0.2">
      <c r="A23" s="165"/>
      <c r="B23" s="61">
        <v>20</v>
      </c>
      <c r="C23" s="51" t="s">
        <v>444</v>
      </c>
      <c r="D23" s="136" t="s">
        <v>565</v>
      </c>
      <c r="E23" s="65" t="str">
        <f>IFERROR(VLOOKUP(D23,BTiradores!$B$2:$H$327,2,FALSE),"")</f>
        <v>Teodoro Sanz de Sebastian</v>
      </c>
      <c r="F23" s="66">
        <f>IFERROR(VLOOKUP(D23,BTiradores!$B$2:$H$327,3,FALSE),"")</f>
        <v>0</v>
      </c>
      <c r="G23" s="66" t="str">
        <f>IFERROR(VLOOKUP(D23,BTiradores!$B$2:$H$327,4,FALSE),"")</f>
        <v>BU</v>
      </c>
      <c r="H23" s="67">
        <f>IFERROR(VLOOKUP(D23,BTiradores!$B$2:$H$327,5,FALSE),"")</f>
        <v>4</v>
      </c>
      <c r="I23" s="66">
        <f>IFERROR(VLOOKUP(D23,BTiradores!$B$2:$H$327,6,FALSE),"")</f>
        <v>4</v>
      </c>
      <c r="J23" s="66" t="str">
        <f>IFERROR(VLOOKUP(D23,BTiradores!$B$2:$H$327,7,FALSE),"")</f>
        <v>SR</v>
      </c>
      <c r="K23" s="43">
        <v>20</v>
      </c>
      <c r="L23" s="43">
        <v>22</v>
      </c>
      <c r="M23" s="43">
        <v>22</v>
      </c>
      <c r="N23" s="43">
        <v>21</v>
      </c>
      <c r="O23" s="66">
        <f t="shared" si="1"/>
        <v>85</v>
      </c>
      <c r="P23" s="39"/>
      <c r="Q23" s="66">
        <f t="shared" si="0"/>
        <v>85</v>
      </c>
      <c r="R23" s="52">
        <v>34</v>
      </c>
    </row>
    <row r="24" spans="1:18" s="52" customFormat="1" ht="15.95" customHeight="1" x14ac:dyDescent="0.2">
      <c r="A24" s="165"/>
      <c r="B24" s="61">
        <v>21</v>
      </c>
      <c r="C24" s="51" t="s">
        <v>445</v>
      </c>
      <c r="D24" s="136" t="s">
        <v>688</v>
      </c>
      <c r="E24" s="65" t="str">
        <f>IFERROR(VLOOKUP(D24,BTiradores!$B$2:$H$327,2,FALSE),"")</f>
        <v>Rufino Ruiz Orosa</v>
      </c>
      <c r="F24" s="66">
        <f>IFERROR(VLOOKUP(D24,BTiradores!$B$2:$H$327,3,FALSE),"")</f>
        <v>0</v>
      </c>
      <c r="G24" s="66" t="str">
        <f>IFERROR(VLOOKUP(D24,BTiradores!$B$2:$H$327,4,FALSE),"")</f>
        <v>SG</v>
      </c>
      <c r="H24" s="67">
        <f>IFERROR(VLOOKUP(D24,BTiradores!$B$2:$H$327,5,FALSE),"")</f>
        <v>2</v>
      </c>
      <c r="I24" s="66">
        <f>IFERROR(VLOOKUP(D24,BTiradores!$B$2:$H$327,6,FALSE),"")</f>
        <v>2</v>
      </c>
      <c r="J24" s="66" t="str">
        <f>IFERROR(VLOOKUP(D24,BTiradores!$B$2:$H$327,7,FALSE),"")</f>
        <v>VET</v>
      </c>
      <c r="K24" s="43">
        <v>24</v>
      </c>
      <c r="L24" s="43">
        <v>25</v>
      </c>
      <c r="M24" s="43">
        <v>17</v>
      </c>
      <c r="N24" s="43">
        <v>21</v>
      </c>
      <c r="O24" s="66">
        <f t="shared" si="1"/>
        <v>87</v>
      </c>
      <c r="P24" s="39"/>
      <c r="Q24" s="66">
        <f t="shared" si="0"/>
        <v>87</v>
      </c>
      <c r="R24" s="52">
        <v>24</v>
      </c>
    </row>
    <row r="25" spans="1:18" s="52" customFormat="1" ht="15.95" customHeight="1" x14ac:dyDescent="0.2">
      <c r="A25" s="165"/>
      <c r="B25" s="61">
        <v>22</v>
      </c>
      <c r="C25" s="51" t="s">
        <v>446</v>
      </c>
      <c r="D25" s="136" t="s">
        <v>682</v>
      </c>
      <c r="E25" s="65" t="str">
        <f>IFERROR(VLOOKUP(D25,BTiradores!$B$2:$H$327,2,FALSE),"")</f>
        <v>Ricardo Rojo Gonzalez</v>
      </c>
      <c r="F25" s="66">
        <f>IFERROR(VLOOKUP(D25,BTiradores!$B$2:$H$327,3,FALSE),"")</f>
        <v>0</v>
      </c>
      <c r="G25" s="66" t="str">
        <f>IFERROR(VLOOKUP(D25,BTiradores!$B$2:$H$327,4,FALSE),"")</f>
        <v>BU</v>
      </c>
      <c r="H25" s="67">
        <f>IFERROR(VLOOKUP(D25,BTiradores!$B$2:$H$327,5,FALSE),"")</f>
        <v>4</v>
      </c>
      <c r="I25" s="66">
        <f>IFERROR(VLOOKUP(D25,BTiradores!$B$2:$H$327,6,FALSE),"")</f>
        <v>4</v>
      </c>
      <c r="J25" s="66" t="str">
        <f>IFERROR(VLOOKUP(D25,BTiradores!$B$2:$H$327,7,FALSE),"")</f>
        <v>SR</v>
      </c>
      <c r="K25" s="43">
        <v>15</v>
      </c>
      <c r="L25" s="43">
        <v>13</v>
      </c>
      <c r="M25" s="43">
        <v>12</v>
      </c>
      <c r="N25" s="43">
        <v>19</v>
      </c>
      <c r="O25" s="66">
        <f t="shared" si="1"/>
        <v>59</v>
      </c>
      <c r="P25" s="39"/>
      <c r="Q25" s="66">
        <f t="shared" si="0"/>
        <v>59</v>
      </c>
      <c r="R25" s="52">
        <v>34</v>
      </c>
    </row>
    <row r="26" spans="1:18" s="52" customFormat="1" ht="15.95" customHeight="1" x14ac:dyDescent="0.2">
      <c r="A26" s="165"/>
      <c r="B26" s="61">
        <v>23</v>
      </c>
      <c r="C26" s="51" t="s">
        <v>447</v>
      </c>
      <c r="D26" s="136" t="s">
        <v>684</v>
      </c>
      <c r="E26" s="65" t="str">
        <f>IFERROR(VLOOKUP(D26,BTiradores!$B$2:$H$327,2,FALSE),"")</f>
        <v>Nicolas Velasco Perez</v>
      </c>
      <c r="F26" s="66">
        <f>IFERROR(VLOOKUP(D26,BTiradores!$B$2:$H$327,3,FALSE),"")</f>
        <v>6010</v>
      </c>
      <c r="G26" s="66" t="str">
        <f>IFERROR(VLOOKUP(D26,BTiradores!$B$2:$H$327,4,FALSE),"")</f>
        <v>BU</v>
      </c>
      <c r="H26" s="67">
        <f>IFERROR(VLOOKUP(D26,BTiradores!$B$2:$H$327,5,FALSE),"")</f>
        <v>4</v>
      </c>
      <c r="I26" s="66">
        <f>IFERROR(VLOOKUP(D26,BTiradores!$B$2:$H$327,6,FALSE),"")</f>
        <v>4</v>
      </c>
      <c r="J26" s="66" t="str">
        <f>IFERROR(VLOOKUP(D26,BTiradores!$B$2:$H$327,7,FALSE),"")</f>
        <v>SR</v>
      </c>
      <c r="K26" s="43">
        <v>23</v>
      </c>
      <c r="L26" s="43">
        <v>23</v>
      </c>
      <c r="M26" s="43">
        <v>24</v>
      </c>
      <c r="N26" s="43">
        <v>24</v>
      </c>
      <c r="O26" s="66">
        <f t="shared" si="1"/>
        <v>94</v>
      </c>
      <c r="P26" s="39"/>
      <c r="Q26" s="66">
        <f t="shared" si="0"/>
        <v>94</v>
      </c>
      <c r="R26" s="52">
        <v>34</v>
      </c>
    </row>
    <row r="27" spans="1:18" s="52" customFormat="1" ht="15.95" customHeight="1" x14ac:dyDescent="0.2">
      <c r="A27" s="165"/>
      <c r="B27" s="61">
        <v>24</v>
      </c>
      <c r="C27" s="51" t="s">
        <v>448</v>
      </c>
      <c r="D27" s="136" t="s">
        <v>686</v>
      </c>
      <c r="E27" s="65" t="str">
        <f>IFERROR(VLOOKUP(D27,BTiradores!$B$2:$H$327,2,FALSE),"")</f>
        <v>Javier de la Camara Izquierdo</v>
      </c>
      <c r="F27" s="66">
        <f>IFERROR(VLOOKUP(D27,BTiradores!$B$2:$H$327,3,FALSE),"")</f>
        <v>0</v>
      </c>
      <c r="G27" s="66" t="str">
        <f>IFERROR(VLOOKUP(D27,BTiradores!$B$2:$H$327,4,FALSE),"")</f>
        <v>BU</v>
      </c>
      <c r="H27" s="67">
        <f>IFERROR(VLOOKUP(D27,BTiradores!$B$2:$H$327,5,FALSE),"")</f>
        <v>3</v>
      </c>
      <c r="I27" s="66">
        <f>IFERROR(VLOOKUP(D27,BTiradores!$B$2:$H$327,6,FALSE),"")</f>
        <v>3</v>
      </c>
      <c r="J27" s="66" t="str">
        <f>IFERROR(VLOOKUP(D27,BTiradores!$B$2:$H$327,7,FALSE),"")</f>
        <v>SR</v>
      </c>
      <c r="K27" s="43">
        <v>20</v>
      </c>
      <c r="L27" s="43">
        <v>23</v>
      </c>
      <c r="M27" s="43">
        <v>19</v>
      </c>
      <c r="N27" s="43">
        <v>19</v>
      </c>
      <c r="O27" s="66">
        <f t="shared" si="1"/>
        <v>81</v>
      </c>
      <c r="P27" s="39"/>
      <c r="Q27" s="66">
        <f t="shared" si="0"/>
        <v>81</v>
      </c>
      <c r="R27" s="52">
        <v>34</v>
      </c>
    </row>
    <row r="28" spans="1:18" s="52" customFormat="1" ht="15.95" customHeight="1" x14ac:dyDescent="0.2">
      <c r="A28" s="164">
        <v>5</v>
      </c>
      <c r="B28" s="59">
        <v>25</v>
      </c>
      <c r="C28" s="50" t="s">
        <v>449</v>
      </c>
      <c r="D28" s="135" t="s">
        <v>131</v>
      </c>
      <c r="E28" s="62" t="str">
        <f>IFERROR(VLOOKUP(D28,BTiradores!$B$2:$H$327,2,FALSE),"")</f>
        <v>Angel Alfonso Asensio</v>
      </c>
      <c r="F28" s="63">
        <f>IFERROR(VLOOKUP(D28,BTiradores!$B$2:$H$327,3,FALSE),"")</f>
        <v>57</v>
      </c>
      <c r="G28" s="63" t="str">
        <f>IFERROR(VLOOKUP(D28,BTiradores!$B$2:$H$327,4,FALSE),"")</f>
        <v>VA</v>
      </c>
      <c r="H28" s="64">
        <f>IFERROR(VLOOKUP(D28,BTiradores!$B$2:$H$327,5,FALSE),"")</f>
        <v>2</v>
      </c>
      <c r="I28" s="63">
        <f>IFERROR(VLOOKUP(D28,BTiradores!$B$2:$H$327,6,FALSE),"")</f>
        <v>1</v>
      </c>
      <c r="J28" s="63" t="str">
        <f>IFERROR(VLOOKUP(D28,BTiradores!$B$2:$H$327,7,FALSE),"")</f>
        <v>VET</v>
      </c>
      <c r="K28" s="42">
        <v>23</v>
      </c>
      <c r="L28" s="42">
        <v>23</v>
      </c>
      <c r="M28" s="42">
        <v>19</v>
      </c>
      <c r="N28" s="42">
        <v>24</v>
      </c>
      <c r="O28" s="63">
        <f t="shared" si="1"/>
        <v>89</v>
      </c>
      <c r="P28" s="40"/>
      <c r="Q28" s="71">
        <f t="shared" si="0"/>
        <v>89</v>
      </c>
      <c r="R28" s="52">
        <v>34</v>
      </c>
    </row>
    <row r="29" spans="1:18" s="52" customFormat="1" ht="15.95" customHeight="1" x14ac:dyDescent="0.2">
      <c r="A29" s="164"/>
      <c r="B29" s="59">
        <v>26</v>
      </c>
      <c r="C29" s="51" t="s">
        <v>450</v>
      </c>
      <c r="D29" s="136" t="s">
        <v>149</v>
      </c>
      <c r="E29" s="65" t="str">
        <f>IFERROR(VLOOKUP(D29,BTiradores!$B$2:$H$327,2,FALSE),"")</f>
        <v>Carlos Mari Perez Martin</v>
      </c>
      <c r="F29" s="66">
        <f>IFERROR(VLOOKUP(D29,BTiradores!$B$2:$H$327,3,FALSE),"")</f>
        <v>2266</v>
      </c>
      <c r="G29" s="66" t="str">
        <f>IFERROR(VLOOKUP(D29,BTiradores!$B$2:$H$327,4,FALSE),"")</f>
        <v>P</v>
      </c>
      <c r="H29" s="67">
        <f>IFERROR(VLOOKUP(D29,BTiradores!$B$2:$H$327,5,FALSE),"")</f>
        <v>2</v>
      </c>
      <c r="I29" s="66">
        <f>IFERROR(VLOOKUP(D29,BTiradores!$B$2:$H$327,6,FALSE),"")</f>
        <v>2</v>
      </c>
      <c r="J29" s="66" t="str">
        <f>IFERROR(VLOOKUP(D29,BTiradores!$B$2:$H$327,7,FALSE),"")</f>
        <v>VET</v>
      </c>
      <c r="K29" s="43">
        <v>20</v>
      </c>
      <c r="L29" s="43">
        <v>22</v>
      </c>
      <c r="M29" s="43">
        <v>21</v>
      </c>
      <c r="N29" s="43">
        <v>23</v>
      </c>
      <c r="O29" s="66">
        <f t="shared" si="1"/>
        <v>86</v>
      </c>
      <c r="P29" s="39"/>
      <c r="Q29" s="72">
        <f t="shared" si="0"/>
        <v>86</v>
      </c>
      <c r="R29" s="52">
        <v>34</v>
      </c>
    </row>
    <row r="30" spans="1:18" s="52" customFormat="1" ht="15.95" customHeight="1" x14ac:dyDescent="0.2">
      <c r="A30" s="164"/>
      <c r="B30" s="59">
        <v>27</v>
      </c>
      <c r="C30" s="51" t="s">
        <v>451</v>
      </c>
      <c r="D30" s="136" t="s">
        <v>179</v>
      </c>
      <c r="E30" s="65" t="str">
        <f>IFERROR(VLOOKUP(D30,BTiradores!$B$2:$H$327,2,FALSE),"")</f>
        <v>Eusebio Barquin Herreria</v>
      </c>
      <c r="F30" s="66" t="str">
        <f>IFERROR(VLOOKUP(D30,BTiradores!$B$2:$H$327,3,FALSE),"")</f>
        <v>5608-B</v>
      </c>
      <c r="G30" s="66" t="str">
        <f>IFERROR(VLOOKUP(D30,BTiradores!$B$2:$H$327,4,FALSE),"")</f>
        <v>BI</v>
      </c>
      <c r="H30" s="67">
        <f>IFERROR(VLOOKUP(D30,BTiradores!$B$2:$H$327,5,FALSE),"")</f>
        <v>4</v>
      </c>
      <c r="I30" s="66">
        <f>IFERROR(VLOOKUP(D30,BTiradores!$B$2:$H$327,6,FALSE),"")</f>
        <v>2</v>
      </c>
      <c r="J30" s="66" t="str">
        <f>IFERROR(VLOOKUP(D30,BTiradores!$B$2:$H$327,7,FALSE),"")</f>
        <v>SR</v>
      </c>
      <c r="K30" s="43">
        <v>22</v>
      </c>
      <c r="L30" s="43">
        <v>18</v>
      </c>
      <c r="M30" s="43">
        <v>17</v>
      </c>
      <c r="N30" s="43">
        <v>23</v>
      </c>
      <c r="O30" s="66">
        <f t="shared" si="1"/>
        <v>80</v>
      </c>
      <c r="P30" s="39"/>
      <c r="Q30" s="72">
        <f t="shared" si="0"/>
        <v>80</v>
      </c>
      <c r="R30" s="52">
        <v>34</v>
      </c>
    </row>
    <row r="31" spans="1:18" s="52" customFormat="1" ht="15.95" customHeight="1" x14ac:dyDescent="0.2">
      <c r="A31" s="164"/>
      <c r="B31" s="59">
        <v>28</v>
      </c>
      <c r="C31" s="51" t="s">
        <v>452</v>
      </c>
      <c r="D31" s="136" t="s">
        <v>748</v>
      </c>
      <c r="E31" s="65" t="str">
        <f>IFERROR(VLOOKUP(D31,BTiradores!$B$2:$H$327,2,FALSE),"")</f>
        <v>Flor Rojo</v>
      </c>
      <c r="F31" s="66">
        <f>IFERROR(VLOOKUP(D31,BTiradores!$B$2:$H$327,3,FALSE),"")</f>
        <v>2333</v>
      </c>
      <c r="G31" s="66" t="str">
        <f>IFERROR(VLOOKUP(D31,BTiradores!$B$2:$H$327,4,FALSE),"")</f>
        <v>P</v>
      </c>
      <c r="H31" s="67">
        <f>IFERROR(VLOOKUP(D31,BTiradores!$B$2:$H$327,5,FALSE),"")</f>
        <v>4</v>
      </c>
      <c r="I31" s="66">
        <f>IFERROR(VLOOKUP(D31,BTiradores!$B$2:$H$327,6,FALSE),"")</f>
        <v>4</v>
      </c>
      <c r="J31" s="66" t="str">
        <f>IFERROR(VLOOKUP(D31,BTiradores!$B$2:$H$327,7,FALSE),"")</f>
        <v>DM</v>
      </c>
      <c r="K31" s="43">
        <v>20</v>
      </c>
      <c r="L31" s="43">
        <v>19</v>
      </c>
      <c r="M31" s="43">
        <v>19</v>
      </c>
      <c r="N31" s="43">
        <v>16</v>
      </c>
      <c r="O31" s="66">
        <f t="shared" si="1"/>
        <v>74</v>
      </c>
      <c r="P31" s="39"/>
      <c r="Q31" s="72">
        <f t="shared" si="0"/>
        <v>74</v>
      </c>
      <c r="R31" s="52">
        <v>24</v>
      </c>
    </row>
    <row r="32" spans="1:18" s="52" customFormat="1" ht="15.95" customHeight="1" x14ac:dyDescent="0.2">
      <c r="A32" s="164"/>
      <c r="B32" s="59">
        <v>29</v>
      </c>
      <c r="C32" s="51" t="s">
        <v>453</v>
      </c>
      <c r="D32" s="136" t="s">
        <v>746</v>
      </c>
      <c r="E32" s="65" t="str">
        <f>IFERROR(VLOOKUP(D32,BTiradores!$B$2:$H$327,2,FALSE),"")</f>
        <v>Jose Herrera</v>
      </c>
      <c r="F32" s="66">
        <f>IFERROR(VLOOKUP(D32,BTiradores!$B$2:$H$327,3,FALSE),"")</f>
        <v>2332</v>
      </c>
      <c r="G32" s="66" t="str">
        <f>IFERROR(VLOOKUP(D32,BTiradores!$B$2:$H$327,4,FALSE),"")</f>
        <v>P</v>
      </c>
      <c r="H32" s="67">
        <f>IFERROR(VLOOKUP(D32,BTiradores!$B$2:$H$327,5,FALSE),"")</f>
        <v>2</v>
      </c>
      <c r="I32" s="66">
        <f>IFERROR(VLOOKUP(D32,BTiradores!$B$2:$H$327,6,FALSE),"")</f>
        <v>2</v>
      </c>
      <c r="J32" s="66" t="str">
        <f>IFERROR(VLOOKUP(D32,BTiradores!$B$2:$H$327,7,FALSE),"")</f>
        <v>SR</v>
      </c>
      <c r="K32" s="43">
        <v>18</v>
      </c>
      <c r="L32" s="43">
        <v>20</v>
      </c>
      <c r="M32" s="43">
        <v>18</v>
      </c>
      <c r="N32" s="43">
        <v>19</v>
      </c>
      <c r="O32" s="66">
        <f t="shared" si="1"/>
        <v>75</v>
      </c>
      <c r="P32" s="39"/>
      <c r="Q32" s="72">
        <f t="shared" si="0"/>
        <v>75</v>
      </c>
      <c r="R32" s="52">
        <v>34</v>
      </c>
    </row>
    <row r="33" spans="1:18" s="52" customFormat="1" ht="15.95" customHeight="1" x14ac:dyDescent="0.2">
      <c r="A33" s="164"/>
      <c r="B33" s="59">
        <v>30</v>
      </c>
      <c r="C33" s="53" t="s">
        <v>454</v>
      </c>
      <c r="D33" s="136" t="s">
        <v>759</v>
      </c>
      <c r="E33" s="68" t="str">
        <f>IFERROR(VLOOKUP(D33,BTiradores!$B$2:$H$327,2,FALSE),"")</f>
        <v>Fernando Arribas</v>
      </c>
      <c r="F33" s="69">
        <f>IFERROR(VLOOKUP(D33,BTiradores!$B$2:$H$327,3,FALSE),"")</f>
        <v>2444</v>
      </c>
      <c r="G33" s="69" t="str">
        <f>IFERROR(VLOOKUP(D33,BTiradores!$B$2:$H$327,4,FALSE),"")</f>
        <v>SO</v>
      </c>
      <c r="H33" s="70">
        <f>IFERROR(VLOOKUP(D33,BTiradores!$B$2:$H$327,5,FALSE),"")</f>
        <v>2</v>
      </c>
      <c r="I33" s="69">
        <f>IFERROR(VLOOKUP(D33,BTiradores!$B$2:$H$327,6,FALSE),"")</f>
        <v>2</v>
      </c>
      <c r="J33" s="69" t="str">
        <f>IFERROR(VLOOKUP(D33,BTiradores!$B$2:$H$327,7,FALSE),"")</f>
        <v>SR</v>
      </c>
      <c r="K33" s="44">
        <v>23</v>
      </c>
      <c r="L33" s="44">
        <v>23</v>
      </c>
      <c r="M33" s="44">
        <v>23</v>
      </c>
      <c r="N33" s="44">
        <v>22</v>
      </c>
      <c r="O33" s="69">
        <f t="shared" si="1"/>
        <v>91</v>
      </c>
      <c r="P33" s="41"/>
      <c r="Q33" s="73">
        <f t="shared" si="0"/>
        <v>91</v>
      </c>
    </row>
    <row r="34" spans="1:18" s="52" customFormat="1" ht="15.95" customHeight="1" x14ac:dyDescent="0.2">
      <c r="A34" s="165">
        <v>6</v>
      </c>
      <c r="B34" s="61">
        <v>31</v>
      </c>
      <c r="C34" s="143" t="s">
        <v>455</v>
      </c>
      <c r="D34" s="135" t="s">
        <v>514</v>
      </c>
      <c r="E34" s="62" t="str">
        <f>IFERROR(VLOOKUP(D34,BTiradores!$B$2:$H$327,2,FALSE),"")</f>
        <v>Fernando Gonzalez Peña</v>
      </c>
      <c r="F34" s="63">
        <f>IFERROR(VLOOKUP(D34,BTiradores!$B$2:$H$327,3,FALSE),"")</f>
        <v>0</v>
      </c>
      <c r="G34" s="63" t="str">
        <f>IFERROR(VLOOKUP(D34,BTiradores!$B$2:$H$327,4,FALSE),"")</f>
        <v>BU</v>
      </c>
      <c r="H34" s="64">
        <f>IFERROR(VLOOKUP(D34,BTiradores!$B$2:$H$327,5,FALSE),"")</f>
        <v>4</v>
      </c>
      <c r="I34" s="63">
        <f>IFERROR(VLOOKUP(D34,BTiradores!$B$2:$H$327,6,FALSE),"")</f>
        <v>4</v>
      </c>
      <c r="J34" s="63" t="str">
        <f>IFERROR(VLOOKUP(D34,BTiradores!$B$2:$H$327,7,FALSE),"")</f>
        <v>SR</v>
      </c>
      <c r="K34" s="42">
        <v>20</v>
      </c>
      <c r="L34" s="42">
        <v>18</v>
      </c>
      <c r="M34" s="42">
        <v>17</v>
      </c>
      <c r="N34" s="42">
        <v>19</v>
      </c>
      <c r="O34" s="63">
        <f t="shared" si="1"/>
        <v>74</v>
      </c>
      <c r="P34" s="40"/>
      <c r="Q34" s="63">
        <f t="shared" si="0"/>
        <v>74</v>
      </c>
      <c r="R34" s="52">
        <v>24</v>
      </c>
    </row>
    <row r="35" spans="1:18" s="52" customFormat="1" ht="15.95" customHeight="1" x14ac:dyDescent="0.2">
      <c r="A35" s="165"/>
      <c r="B35" s="61">
        <v>32</v>
      </c>
      <c r="C35" s="144" t="s">
        <v>456</v>
      </c>
      <c r="D35" s="136" t="s">
        <v>253</v>
      </c>
      <c r="E35" s="65" t="str">
        <f>IFERROR(VLOOKUP(D35,BTiradores!$B$2:$H$327,2,FALSE),"")</f>
        <v>Jorge Juan Roman Garcia</v>
      </c>
      <c r="F35" s="66">
        <f>IFERROR(VLOOKUP(D35,BTiradores!$B$2:$H$327,3,FALSE),"")</f>
        <v>5855</v>
      </c>
      <c r="G35" s="66" t="str">
        <f>IFERROR(VLOOKUP(D35,BTiradores!$B$2:$H$327,4,FALSE),"")</f>
        <v>BU</v>
      </c>
      <c r="H35" s="67">
        <f>IFERROR(VLOOKUP(D35,BTiradores!$B$2:$H$327,5,FALSE),"")</f>
        <v>4</v>
      </c>
      <c r="I35" s="66">
        <f>IFERROR(VLOOKUP(D35,BTiradores!$B$2:$H$327,6,FALSE),"")</f>
        <v>4</v>
      </c>
      <c r="J35" s="66" t="str">
        <f>IFERROR(VLOOKUP(D35,BTiradores!$B$2:$H$327,7,FALSE),"")</f>
        <v>SR</v>
      </c>
      <c r="K35" s="43">
        <v>21</v>
      </c>
      <c r="L35" s="43">
        <v>23</v>
      </c>
      <c r="M35" s="43">
        <v>18</v>
      </c>
      <c r="N35" s="43">
        <v>21</v>
      </c>
      <c r="O35" s="66">
        <f t="shared" si="1"/>
        <v>83</v>
      </c>
      <c r="P35" s="39"/>
      <c r="Q35" s="66">
        <f t="shared" si="0"/>
        <v>83</v>
      </c>
      <c r="R35" s="52">
        <v>34</v>
      </c>
    </row>
    <row r="36" spans="1:18" s="52" customFormat="1" ht="15.95" customHeight="1" x14ac:dyDescent="0.2">
      <c r="A36" s="165"/>
      <c r="B36" s="61">
        <v>33</v>
      </c>
      <c r="C36" s="144" t="s">
        <v>457</v>
      </c>
      <c r="D36" s="136" t="s">
        <v>573</v>
      </c>
      <c r="E36" s="65" t="str">
        <f>IFERROR(VLOOKUP(D36,BTiradores!$B$2:$H$327,2,FALSE),"")</f>
        <v>Vidal Calvo Elena</v>
      </c>
      <c r="F36" s="66">
        <f>IFERROR(VLOOKUP(D36,BTiradores!$B$2:$H$327,3,FALSE),"")</f>
        <v>2907</v>
      </c>
      <c r="G36" s="66" t="str">
        <f>IFERROR(VLOOKUP(D36,BTiradores!$B$2:$H$327,4,FALSE),"")</f>
        <v>BU</v>
      </c>
      <c r="H36" s="67">
        <f>IFERROR(VLOOKUP(D36,BTiradores!$B$2:$H$327,5,FALSE),"")</f>
        <v>3</v>
      </c>
      <c r="I36" s="66">
        <f>IFERROR(VLOOKUP(D36,BTiradores!$B$2:$H$327,6,FALSE),"")</f>
        <v>3</v>
      </c>
      <c r="J36" s="66" t="str">
        <f>IFERROR(VLOOKUP(D36,BTiradores!$B$2:$H$327,7,FALSE),"")</f>
        <v>SR</v>
      </c>
      <c r="K36" s="43">
        <v>21</v>
      </c>
      <c r="L36" s="43">
        <v>21</v>
      </c>
      <c r="M36" s="43">
        <v>22</v>
      </c>
      <c r="N36" s="43">
        <v>22</v>
      </c>
      <c r="O36" s="66">
        <f t="shared" ref="O36:O70" si="2">SUM(K36:N36)</f>
        <v>86</v>
      </c>
      <c r="P36" s="39"/>
      <c r="Q36" s="66">
        <f t="shared" ref="Q36:Q70" si="3">SUM(O36:P36)</f>
        <v>86</v>
      </c>
      <c r="R36" s="52">
        <v>34</v>
      </c>
    </row>
    <row r="37" spans="1:18" s="52" customFormat="1" ht="15.95" customHeight="1" x14ac:dyDescent="0.2">
      <c r="A37" s="165"/>
      <c r="B37" s="61">
        <v>34</v>
      </c>
      <c r="C37" s="144" t="s">
        <v>458</v>
      </c>
      <c r="D37" s="136" t="s">
        <v>616</v>
      </c>
      <c r="E37" s="65" t="str">
        <f>IFERROR(VLOOKUP(D37,BTiradores!$B$2:$H$327,2,FALSE),"")</f>
        <v>Joaquin Santaeufemia Alevia -CAÑITA-</v>
      </c>
      <c r="F37" s="66">
        <f>IFERROR(VLOOKUP(D37,BTiradores!$B$2:$H$327,3,FALSE),"")</f>
        <v>1270</v>
      </c>
      <c r="G37" s="66" t="str">
        <f>IFERROR(VLOOKUP(D37,BTiradores!$B$2:$H$327,4,FALSE),"")</f>
        <v>BU</v>
      </c>
      <c r="H37" s="67">
        <f>IFERROR(VLOOKUP(D37,BTiradores!$B$2:$H$327,5,FALSE),"")</f>
        <v>4</v>
      </c>
      <c r="I37" s="66">
        <f>IFERROR(VLOOKUP(D37,BTiradores!$B$2:$H$327,6,FALSE),"")</f>
        <v>4</v>
      </c>
      <c r="J37" s="66" t="str">
        <f>IFERROR(VLOOKUP(D37,BTiradores!$B$2:$H$327,7,FALSE),"")</f>
        <v>SR</v>
      </c>
      <c r="K37" s="43">
        <v>17</v>
      </c>
      <c r="L37" s="43">
        <v>19</v>
      </c>
      <c r="M37" s="43">
        <v>16</v>
      </c>
      <c r="N37" s="43">
        <v>19</v>
      </c>
      <c r="O37" s="66">
        <f t="shared" si="2"/>
        <v>71</v>
      </c>
      <c r="P37" s="39"/>
      <c r="Q37" s="66">
        <f t="shared" si="3"/>
        <v>71</v>
      </c>
      <c r="R37" s="52">
        <v>24</v>
      </c>
    </row>
    <row r="38" spans="1:18" s="52" customFormat="1" ht="15.95" customHeight="1" x14ac:dyDescent="0.2">
      <c r="A38" s="165"/>
      <c r="B38" s="61">
        <v>35</v>
      </c>
      <c r="C38" s="144" t="s">
        <v>459</v>
      </c>
      <c r="D38" s="136" t="s">
        <v>757</v>
      </c>
      <c r="E38" s="65" t="str">
        <f>IFERROR(VLOOKUP(D38,BTiradores!$B$2:$H$327,2,FALSE),"")</f>
        <v>Arnulfo Rodriguez Torrego</v>
      </c>
      <c r="F38" s="66">
        <f>IFERROR(VLOOKUP(D38,BTiradores!$B$2:$H$327,3,FALSE),"")</f>
        <v>1229</v>
      </c>
      <c r="G38" s="66" t="str">
        <f>IFERROR(VLOOKUP(D38,BTiradores!$B$2:$H$327,4,FALSE),"")</f>
        <v>BU</v>
      </c>
      <c r="H38" s="67">
        <f>IFERROR(VLOOKUP(D38,BTiradores!$B$2:$H$327,5,FALSE),"")</f>
        <v>3</v>
      </c>
      <c r="I38" s="66">
        <f>IFERROR(VLOOKUP(D38,BTiradores!$B$2:$H$327,6,FALSE),"")</f>
        <v>3</v>
      </c>
      <c r="J38" s="66" t="str">
        <f>IFERROR(VLOOKUP(D38,BTiradores!$B$2:$H$327,7,FALSE),"")</f>
        <v>SR</v>
      </c>
      <c r="K38" s="43">
        <v>20</v>
      </c>
      <c r="L38" s="43">
        <v>20</v>
      </c>
      <c r="M38" s="43">
        <v>24</v>
      </c>
      <c r="N38" s="43">
        <v>19</v>
      </c>
      <c r="O38" s="66">
        <f t="shared" si="2"/>
        <v>83</v>
      </c>
      <c r="P38" s="39"/>
      <c r="Q38" s="66">
        <f t="shared" si="3"/>
        <v>83</v>
      </c>
      <c r="R38" s="52">
        <v>34</v>
      </c>
    </row>
    <row r="39" spans="1:18" s="52" customFormat="1" ht="15.95" customHeight="1" x14ac:dyDescent="0.2">
      <c r="A39" s="165"/>
      <c r="B39" s="61">
        <v>36</v>
      </c>
      <c r="C39" s="145" t="s">
        <v>460</v>
      </c>
      <c r="D39" s="137" t="s">
        <v>765</v>
      </c>
      <c r="E39" s="68" t="str">
        <f>IFERROR(VLOOKUP(D39,BTiradores!$B$2:$H$327,2,FALSE),"")</f>
        <v>Guillermo Blanco Garcia</v>
      </c>
      <c r="F39" s="69" t="str">
        <f>IFERROR(VLOOKUP(D39,BTiradores!$B$2:$H$327,3,FALSE),"")</f>
        <v>6709-N</v>
      </c>
      <c r="G39" s="69" t="str">
        <f>IFERROR(VLOOKUP(D39,BTiradores!$B$2:$H$327,4,FALSE),"")</f>
        <v>NA</v>
      </c>
      <c r="H39" s="70">
        <f>IFERROR(VLOOKUP(D39,BTiradores!$B$2:$H$327,5,FALSE),"")</f>
        <v>3</v>
      </c>
      <c r="I39" s="69">
        <f>IFERROR(VLOOKUP(D39,BTiradores!$B$2:$H$327,6,FALSE),"")</f>
        <v>3</v>
      </c>
      <c r="J39" s="69" t="str">
        <f>IFERROR(VLOOKUP(D39,BTiradores!$B$2:$H$327,7,FALSE),"")</f>
        <v>SR</v>
      </c>
      <c r="K39" s="44">
        <v>20</v>
      </c>
      <c r="L39" s="44">
        <v>20</v>
      </c>
      <c r="M39" s="44">
        <v>22</v>
      </c>
      <c r="N39" s="44">
        <v>23</v>
      </c>
      <c r="O39" s="69">
        <f t="shared" si="2"/>
        <v>85</v>
      </c>
      <c r="P39" s="41"/>
      <c r="Q39" s="69">
        <f t="shared" si="3"/>
        <v>85</v>
      </c>
      <c r="R39" s="52">
        <v>34</v>
      </c>
    </row>
    <row r="40" spans="1:18" s="52" customFormat="1" ht="15.95" customHeight="1" x14ac:dyDescent="0.2">
      <c r="A40" s="164">
        <v>7</v>
      </c>
      <c r="B40" s="59">
        <v>37</v>
      </c>
      <c r="C40" s="51" t="s">
        <v>461</v>
      </c>
      <c r="D40" s="136" t="s">
        <v>226</v>
      </c>
      <c r="E40" s="65" t="str">
        <f>IFERROR(VLOOKUP(D40,BTiradores!$B$2:$H$327,2,FALSE),"")</f>
        <v>Ivan Salvador Gonzalez</v>
      </c>
      <c r="F40" s="66">
        <f>IFERROR(VLOOKUP(D40,BTiradores!$B$2:$H$327,3,FALSE),"")</f>
        <v>1212</v>
      </c>
      <c r="G40" s="66" t="str">
        <f>IFERROR(VLOOKUP(D40,BTiradores!$B$2:$H$327,4,FALSE),"")</f>
        <v>BU</v>
      </c>
      <c r="H40" s="67">
        <f>IFERROR(VLOOKUP(D40,BTiradores!$B$2:$H$327,5,FALSE),"")</f>
        <v>3</v>
      </c>
      <c r="I40" s="66">
        <f>IFERROR(VLOOKUP(D40,BTiradores!$B$2:$H$327,6,FALSE),"")</f>
        <v>3</v>
      </c>
      <c r="J40" s="66" t="str">
        <f>IFERROR(VLOOKUP(D40,BTiradores!$B$2:$H$327,7,FALSE),"")</f>
        <v>SR</v>
      </c>
      <c r="K40" s="43">
        <v>24</v>
      </c>
      <c r="L40" s="43">
        <v>21</v>
      </c>
      <c r="M40" s="43">
        <v>21</v>
      </c>
      <c r="N40" s="43">
        <v>19</v>
      </c>
      <c r="O40" s="66">
        <f t="shared" si="2"/>
        <v>85</v>
      </c>
      <c r="P40" s="39"/>
      <c r="Q40" s="72">
        <f t="shared" si="3"/>
        <v>85</v>
      </c>
      <c r="R40" s="52">
        <v>24</v>
      </c>
    </row>
    <row r="41" spans="1:18" s="52" customFormat="1" ht="15.95" customHeight="1" x14ac:dyDescent="0.2">
      <c r="A41" s="164"/>
      <c r="B41" s="59">
        <v>38</v>
      </c>
      <c r="C41" s="51" t="s">
        <v>462</v>
      </c>
      <c r="D41" s="136" t="s">
        <v>124</v>
      </c>
      <c r="E41" s="65" t="str">
        <f>IFERROR(VLOOKUP(D41,BTiradores!$B$2:$H$327,2,FALSE),"")</f>
        <v>Alejandro Gil Ortiz</v>
      </c>
      <c r="F41" s="66">
        <f>IFERROR(VLOOKUP(D41,BTiradores!$B$2:$H$327,3,FALSE),"")</f>
        <v>1233</v>
      </c>
      <c r="G41" s="66" t="str">
        <f>IFERROR(VLOOKUP(D41,BTiradores!$B$2:$H$327,4,FALSE),"")</f>
        <v>BU</v>
      </c>
      <c r="H41" s="67">
        <f>IFERROR(VLOOKUP(D41,BTiradores!$B$2:$H$327,5,FALSE),"")</f>
        <v>2</v>
      </c>
      <c r="I41" s="66">
        <f>IFERROR(VLOOKUP(D41,BTiradores!$B$2:$H$327,6,FALSE),"")</f>
        <v>2</v>
      </c>
      <c r="J41" s="66" t="str">
        <f>IFERROR(VLOOKUP(D41,BTiradores!$B$2:$H$327,7,FALSE),"")</f>
        <v>SR</v>
      </c>
      <c r="K41" s="43">
        <v>21</v>
      </c>
      <c r="L41" s="43">
        <v>23</v>
      </c>
      <c r="M41" s="43">
        <v>23</v>
      </c>
      <c r="N41" s="43">
        <v>19</v>
      </c>
      <c r="O41" s="66">
        <f t="shared" si="2"/>
        <v>86</v>
      </c>
      <c r="P41" s="39"/>
      <c r="Q41" s="72">
        <f t="shared" si="3"/>
        <v>86</v>
      </c>
      <c r="R41" s="52">
        <v>34</v>
      </c>
    </row>
    <row r="42" spans="1:18" s="52" customFormat="1" ht="15.95" customHeight="1" x14ac:dyDescent="0.2">
      <c r="A42" s="164"/>
      <c r="B42" s="59">
        <v>39</v>
      </c>
      <c r="C42" s="51" t="s">
        <v>463</v>
      </c>
      <c r="D42" s="136" t="s">
        <v>232</v>
      </c>
      <c r="E42" s="65" t="str">
        <f>IFERROR(VLOOKUP(D42,BTiradores!$B$2:$H$327,2,FALSE),"")</f>
        <v>Jairo Garcia Gil</v>
      </c>
      <c r="F42" s="66">
        <f>IFERROR(VLOOKUP(D42,BTiradores!$B$2:$H$327,3,FALSE),"")</f>
        <v>2460</v>
      </c>
      <c r="G42" s="66" t="str">
        <f>IFERROR(VLOOKUP(D42,BTiradores!$B$2:$H$327,4,FALSE),"")</f>
        <v>BU</v>
      </c>
      <c r="H42" s="67">
        <f>IFERROR(VLOOKUP(D42,BTiradores!$B$2:$H$327,5,FALSE),"")</f>
        <v>3</v>
      </c>
      <c r="I42" s="66">
        <f>IFERROR(VLOOKUP(D42,BTiradores!$B$2:$H$327,6,FALSE),"")</f>
        <v>3</v>
      </c>
      <c r="J42" s="66" t="str">
        <f>IFERROR(VLOOKUP(D42,BTiradores!$B$2:$H$327,7,FALSE),"")</f>
        <v>SR</v>
      </c>
      <c r="K42" s="43">
        <v>23</v>
      </c>
      <c r="L42" s="43">
        <v>22</v>
      </c>
      <c r="M42" s="43">
        <v>21</v>
      </c>
      <c r="N42" s="43">
        <v>20</v>
      </c>
      <c r="O42" s="66">
        <f t="shared" si="2"/>
        <v>86</v>
      </c>
      <c r="P42" s="39"/>
      <c r="Q42" s="72">
        <f t="shared" si="3"/>
        <v>86</v>
      </c>
      <c r="R42" s="52">
        <v>34</v>
      </c>
    </row>
    <row r="43" spans="1:18" s="52" customFormat="1" ht="15.95" customHeight="1" x14ac:dyDescent="0.2">
      <c r="A43" s="164"/>
      <c r="B43" s="59">
        <v>40</v>
      </c>
      <c r="C43" s="51" t="s">
        <v>464</v>
      </c>
      <c r="D43" s="136" t="s">
        <v>205</v>
      </c>
      <c r="E43" s="65" t="str">
        <f>IFERROR(VLOOKUP(D43,BTiradores!$B$2:$H$327,2,FALSE),"")</f>
        <v>Guillermo Velasco Gonzalez</v>
      </c>
      <c r="F43" s="66">
        <f>IFERROR(VLOOKUP(D43,BTiradores!$B$2:$H$327,3,FALSE),"")</f>
        <v>2539</v>
      </c>
      <c r="G43" s="66" t="str">
        <f>IFERROR(VLOOKUP(D43,BTiradores!$B$2:$H$327,4,FALSE),"")</f>
        <v>BU</v>
      </c>
      <c r="H43" s="67">
        <f>IFERROR(VLOOKUP(D43,BTiradores!$B$2:$H$327,5,FALSE),"")</f>
        <v>4</v>
      </c>
      <c r="I43" s="66">
        <f>IFERROR(VLOOKUP(D43,BTiradores!$B$2:$H$327,6,FALSE),"")</f>
        <v>4</v>
      </c>
      <c r="J43" s="66" t="str">
        <f>IFERROR(VLOOKUP(D43,BTiradores!$B$2:$H$327,7,FALSE),"")</f>
        <v>SR</v>
      </c>
      <c r="K43" s="43">
        <v>19</v>
      </c>
      <c r="L43" s="43">
        <v>22</v>
      </c>
      <c r="M43" s="43">
        <v>23</v>
      </c>
      <c r="N43" s="43">
        <v>24</v>
      </c>
      <c r="O43" s="66">
        <f t="shared" si="2"/>
        <v>88</v>
      </c>
      <c r="P43" s="39"/>
      <c r="Q43" s="72">
        <f t="shared" si="3"/>
        <v>88</v>
      </c>
      <c r="R43" s="52">
        <v>24</v>
      </c>
    </row>
    <row r="44" spans="1:18" s="52" customFormat="1" ht="15.95" customHeight="1" x14ac:dyDescent="0.2">
      <c r="A44" s="164"/>
      <c r="B44" s="59">
        <v>41</v>
      </c>
      <c r="C44" s="51" t="s">
        <v>465</v>
      </c>
      <c r="D44" s="136" t="s">
        <v>670</v>
      </c>
      <c r="E44" s="65" t="str">
        <f>IFERROR(VLOOKUP(D44,BTiradores!$B$2:$H$327,2,FALSE),"")</f>
        <v>Ivan Gonzalez Palacin</v>
      </c>
      <c r="F44" s="66">
        <f>IFERROR(VLOOKUP(D44,BTiradores!$B$2:$H$327,3,FALSE),"")</f>
        <v>5849</v>
      </c>
      <c r="G44" s="66" t="str">
        <f>IFERROR(VLOOKUP(D44,BTiradores!$B$2:$H$327,4,FALSE),"")</f>
        <v>BU</v>
      </c>
      <c r="H44" s="67">
        <f>IFERROR(VLOOKUP(D44,BTiradores!$B$2:$H$327,5,FALSE),"")</f>
        <v>4</v>
      </c>
      <c r="I44" s="66">
        <f>IFERROR(VLOOKUP(D44,BTiradores!$B$2:$H$327,6,FALSE),"")</f>
        <v>4</v>
      </c>
      <c r="J44" s="66" t="str">
        <f>IFERROR(VLOOKUP(D44,BTiradores!$B$2:$H$327,7,FALSE),"")</f>
        <v>SR</v>
      </c>
      <c r="K44" s="43">
        <v>19</v>
      </c>
      <c r="L44" s="43">
        <v>18</v>
      </c>
      <c r="M44" s="43">
        <v>17</v>
      </c>
      <c r="N44" s="43">
        <v>21</v>
      </c>
      <c r="O44" s="66">
        <f t="shared" si="2"/>
        <v>75</v>
      </c>
      <c r="P44" s="39"/>
      <c r="Q44" s="72">
        <f t="shared" si="3"/>
        <v>75</v>
      </c>
      <c r="R44" s="52">
        <v>34</v>
      </c>
    </row>
    <row r="45" spans="1:18" s="52" customFormat="1" ht="15.95" customHeight="1" x14ac:dyDescent="0.2">
      <c r="A45" s="164"/>
      <c r="B45" s="59">
        <v>42</v>
      </c>
      <c r="C45" s="51" t="s">
        <v>466</v>
      </c>
      <c r="D45" s="136" t="s">
        <v>141</v>
      </c>
      <c r="E45" s="65" t="str">
        <f>IFERROR(VLOOKUP(D45,BTiradores!$B$2:$H$327,2,FALSE),"")</f>
        <v>Arturo Ruiz Lopez</v>
      </c>
      <c r="F45" s="66">
        <f>IFERROR(VLOOKUP(D45,BTiradores!$B$2:$H$327,3,FALSE),"")</f>
        <v>0</v>
      </c>
      <c r="G45" s="66" t="str">
        <f>IFERROR(VLOOKUP(D45,BTiradores!$B$2:$H$327,4,FALSE),"")</f>
        <v>BU</v>
      </c>
      <c r="H45" s="67">
        <f>IFERROR(VLOOKUP(D45,BTiradores!$B$2:$H$327,5,FALSE),"")</f>
        <v>2</v>
      </c>
      <c r="I45" s="66">
        <f>IFERROR(VLOOKUP(D45,BTiradores!$B$2:$H$327,6,FALSE),"")</f>
        <v>2</v>
      </c>
      <c r="J45" s="66" t="str">
        <f>IFERROR(VLOOKUP(D45,BTiradores!$B$2:$H$327,7,FALSE),"")</f>
        <v>SR</v>
      </c>
      <c r="K45" s="43">
        <v>21</v>
      </c>
      <c r="L45" s="43">
        <v>23</v>
      </c>
      <c r="M45" s="43">
        <v>23</v>
      </c>
      <c r="N45" s="43">
        <v>21</v>
      </c>
      <c r="O45" s="66">
        <f t="shared" si="2"/>
        <v>88</v>
      </c>
      <c r="P45" s="39"/>
      <c r="Q45" s="72">
        <f t="shared" si="3"/>
        <v>88</v>
      </c>
    </row>
    <row r="46" spans="1:18" s="52" customFormat="1" ht="15.95" customHeight="1" x14ac:dyDescent="0.2">
      <c r="A46" s="165">
        <v>8</v>
      </c>
      <c r="B46" s="142">
        <v>43</v>
      </c>
      <c r="C46" s="143" t="s">
        <v>467</v>
      </c>
      <c r="D46" s="135" t="s">
        <v>251</v>
      </c>
      <c r="E46" s="62" t="str">
        <f>IFERROR(VLOOKUP(D46,BTiradores!$B$2:$H$327,2,FALSE),"")</f>
        <v>Jorge Javier Garcia Perez</v>
      </c>
      <c r="F46" s="63">
        <f>IFERROR(VLOOKUP(D46,BTiradores!$B$2:$H$327,3,FALSE),"")</f>
        <v>0</v>
      </c>
      <c r="G46" s="63" t="str">
        <f>IFERROR(VLOOKUP(D46,BTiradores!$B$2:$H$327,4,FALSE),"")</f>
        <v>BU</v>
      </c>
      <c r="H46" s="64">
        <f>IFERROR(VLOOKUP(D46,BTiradores!$B$2:$H$327,5,FALSE),"")</f>
        <v>3</v>
      </c>
      <c r="I46" s="63">
        <f>IFERROR(VLOOKUP(D46,BTiradores!$B$2:$H$327,6,FALSE),"")</f>
        <v>3</v>
      </c>
      <c r="J46" s="63" t="str">
        <f>IFERROR(VLOOKUP(D46,BTiradores!$B$2:$H$327,7,FALSE),"")</f>
        <v>SR</v>
      </c>
      <c r="K46" s="42">
        <v>21</v>
      </c>
      <c r="L46" s="42">
        <v>19</v>
      </c>
      <c r="M46" s="42">
        <v>18</v>
      </c>
      <c r="N46" s="42">
        <v>22</v>
      </c>
      <c r="O46" s="63">
        <f t="shared" si="2"/>
        <v>80</v>
      </c>
      <c r="P46" s="40"/>
      <c r="Q46" s="71">
        <f t="shared" si="3"/>
        <v>80</v>
      </c>
      <c r="R46" s="52">
        <v>34</v>
      </c>
    </row>
    <row r="47" spans="1:18" s="52" customFormat="1" ht="15.95" customHeight="1" x14ac:dyDescent="0.2">
      <c r="A47" s="165"/>
      <c r="B47" s="142">
        <v>44</v>
      </c>
      <c r="C47" s="144" t="s">
        <v>468</v>
      </c>
      <c r="D47" s="136" t="s">
        <v>291</v>
      </c>
      <c r="E47" s="65" t="str">
        <f>IFERROR(VLOOKUP(D47,BTiradores!$B$2:$H$327,2,FALSE),"")</f>
        <v>Jose Tomas Barrio Mayor</v>
      </c>
      <c r="F47" s="66">
        <f>IFERROR(VLOOKUP(D47,BTiradores!$B$2:$H$327,3,FALSE),"")</f>
        <v>2450</v>
      </c>
      <c r="G47" s="66" t="str">
        <f>IFERROR(VLOOKUP(D47,BTiradores!$B$2:$H$327,4,FALSE),"")</f>
        <v>BU</v>
      </c>
      <c r="H47" s="67">
        <f>IFERROR(VLOOKUP(D47,BTiradores!$B$2:$H$327,5,FALSE),"")</f>
        <v>3</v>
      </c>
      <c r="I47" s="66">
        <f>IFERROR(VLOOKUP(D47,BTiradores!$B$2:$H$327,6,FALSE),"")</f>
        <v>3</v>
      </c>
      <c r="J47" s="66" t="str">
        <f>IFERROR(VLOOKUP(D47,BTiradores!$B$2:$H$327,7,FALSE),"")</f>
        <v>SR</v>
      </c>
      <c r="K47" s="43">
        <v>20</v>
      </c>
      <c r="L47" s="43">
        <v>15</v>
      </c>
      <c r="M47" s="43">
        <v>18</v>
      </c>
      <c r="N47" s="43">
        <v>18</v>
      </c>
      <c r="O47" s="66">
        <f t="shared" si="2"/>
        <v>71</v>
      </c>
      <c r="P47" s="39"/>
      <c r="Q47" s="72">
        <f t="shared" si="3"/>
        <v>71</v>
      </c>
      <c r="R47" s="52">
        <v>34</v>
      </c>
    </row>
    <row r="48" spans="1:18" s="52" customFormat="1" ht="15.95" customHeight="1" x14ac:dyDescent="0.2">
      <c r="A48" s="165"/>
      <c r="B48" s="142">
        <v>45</v>
      </c>
      <c r="C48" s="144" t="s">
        <v>469</v>
      </c>
      <c r="D48" s="136" t="s">
        <v>318</v>
      </c>
      <c r="E48" s="65" t="str">
        <f>IFERROR(VLOOKUP(D48,BTiradores!$B$2:$H$327,2,FALSE),"")</f>
        <v>Luis Amo Fernandez</v>
      </c>
      <c r="F48" s="66">
        <f>IFERROR(VLOOKUP(D48,BTiradores!$B$2:$H$327,3,FALSE),"")</f>
        <v>2452</v>
      </c>
      <c r="G48" s="66" t="str">
        <f>IFERROR(VLOOKUP(D48,BTiradores!$B$2:$H$327,4,FALSE),"")</f>
        <v>BU</v>
      </c>
      <c r="H48" s="67">
        <f>IFERROR(VLOOKUP(D48,BTiradores!$B$2:$H$327,5,FALSE),"")</f>
        <v>4</v>
      </c>
      <c r="I48" s="66">
        <f>IFERROR(VLOOKUP(D48,BTiradores!$B$2:$H$327,6,FALSE),"")</f>
        <v>4</v>
      </c>
      <c r="J48" s="66" t="str">
        <f>IFERROR(VLOOKUP(D48,BTiradores!$B$2:$H$327,7,FALSE),"")</f>
        <v>SR</v>
      </c>
      <c r="K48" s="43">
        <v>20</v>
      </c>
      <c r="L48" s="43">
        <v>22</v>
      </c>
      <c r="M48" s="43">
        <v>21</v>
      </c>
      <c r="N48" s="43">
        <v>22</v>
      </c>
      <c r="O48" s="66">
        <f t="shared" si="2"/>
        <v>85</v>
      </c>
      <c r="P48" s="39"/>
      <c r="Q48" s="72">
        <f t="shared" si="3"/>
        <v>85</v>
      </c>
      <c r="R48" s="52">
        <v>34</v>
      </c>
    </row>
    <row r="49" spans="1:20" s="52" customFormat="1" ht="15.95" customHeight="1" x14ac:dyDescent="0.2">
      <c r="A49" s="165"/>
      <c r="B49" s="142">
        <v>46</v>
      </c>
      <c r="C49" s="144" t="s">
        <v>690</v>
      </c>
      <c r="D49" s="136" t="s">
        <v>331</v>
      </c>
      <c r="E49" s="65" t="str">
        <f>IFERROR(VLOOKUP(D49,BTiradores!$B$2:$H$327,2,FALSE),"")</f>
        <v>Maximo Ausin Ausin</v>
      </c>
      <c r="F49" s="66">
        <f>IFERROR(VLOOKUP(D49,BTiradores!$B$2:$H$327,3,FALSE),"")</f>
        <v>1229</v>
      </c>
      <c r="G49" s="66" t="str">
        <f>IFERROR(VLOOKUP(D49,BTiradores!$B$2:$H$327,4,FALSE),"")</f>
        <v>BU</v>
      </c>
      <c r="H49" s="67">
        <f>IFERROR(VLOOKUP(D49,BTiradores!$B$2:$H$327,5,FALSE),"")</f>
        <v>4</v>
      </c>
      <c r="I49" s="66">
        <f>IFERROR(VLOOKUP(D49,BTiradores!$B$2:$H$327,6,FALSE),"")</f>
        <v>4</v>
      </c>
      <c r="J49" s="66" t="str">
        <f>IFERROR(VLOOKUP(D49,BTiradores!$B$2:$H$327,7,FALSE),"")</f>
        <v>VET</v>
      </c>
      <c r="K49" s="43">
        <v>12</v>
      </c>
      <c r="L49" s="43">
        <v>13</v>
      </c>
      <c r="M49" s="43">
        <v>18</v>
      </c>
      <c r="N49" s="43">
        <v>15</v>
      </c>
      <c r="O49" s="66">
        <f t="shared" ref="O49:O63" si="4">SUM(K49:N49)</f>
        <v>58</v>
      </c>
      <c r="P49" s="39"/>
      <c r="Q49" s="72">
        <f t="shared" ref="Q49:Q63" si="5">SUM(O49:P49)</f>
        <v>58</v>
      </c>
      <c r="R49" s="52">
        <v>34</v>
      </c>
    </row>
    <row r="50" spans="1:20" s="52" customFormat="1" ht="15.95" customHeight="1" x14ac:dyDescent="0.2">
      <c r="A50" s="165"/>
      <c r="B50" s="142">
        <v>47</v>
      </c>
      <c r="C50" s="144" t="s">
        <v>691</v>
      </c>
      <c r="D50" s="136" t="s">
        <v>202</v>
      </c>
      <c r="E50" s="65" t="str">
        <f>IFERROR(VLOOKUP(D50,BTiradores!$B$2:$H$327,2,FALSE),"")</f>
        <v>Gregorio Noriega</v>
      </c>
      <c r="F50" s="66">
        <f>IFERROR(VLOOKUP(D50,BTiradores!$B$2:$H$327,3,FALSE),"")</f>
        <v>2431</v>
      </c>
      <c r="G50" s="66" t="str">
        <f>IFERROR(VLOOKUP(D50,BTiradores!$B$2:$H$327,4,FALSE),"")</f>
        <v>BU</v>
      </c>
      <c r="H50" s="67">
        <f>IFERROR(VLOOKUP(D50,BTiradores!$B$2:$H$327,5,FALSE),"")</f>
        <v>3</v>
      </c>
      <c r="I50" s="66">
        <f>IFERROR(VLOOKUP(D50,BTiradores!$B$2:$H$327,6,FALSE),"")</f>
        <v>3</v>
      </c>
      <c r="J50" s="66" t="str">
        <f>IFERROR(VLOOKUP(D50,BTiradores!$B$2:$H$327,7,FALSE),"")</f>
        <v>SR</v>
      </c>
      <c r="K50" s="43">
        <v>22</v>
      </c>
      <c r="L50" s="43">
        <v>21</v>
      </c>
      <c r="M50" s="43">
        <v>17</v>
      </c>
      <c r="N50" s="43">
        <v>21</v>
      </c>
      <c r="O50" s="66">
        <f t="shared" si="4"/>
        <v>81</v>
      </c>
      <c r="P50" s="39"/>
      <c r="Q50" s="72">
        <f t="shared" si="5"/>
        <v>81</v>
      </c>
      <c r="R50" s="52">
        <v>34</v>
      </c>
    </row>
    <row r="51" spans="1:20" s="52" customFormat="1" ht="15.95" customHeight="1" x14ac:dyDescent="0.2">
      <c r="A51" s="165"/>
      <c r="B51" s="142">
        <v>48</v>
      </c>
      <c r="C51" s="144" t="s">
        <v>692</v>
      </c>
      <c r="D51" s="137" t="s">
        <v>762</v>
      </c>
      <c r="E51" s="65" t="str">
        <f>IFERROR(VLOOKUP(D51,BTiradores!$B$2:$H$327,2,FALSE),"")</f>
        <v>Felipe Marina Gañan</v>
      </c>
      <c r="F51" s="66" t="str">
        <f>IFERROR(VLOOKUP(D51,BTiradores!$B$2:$H$327,3,FALSE),"")</f>
        <v>3700-N</v>
      </c>
      <c r="G51" s="66" t="str">
        <f>IFERROR(VLOOKUP(D51,BTiradores!$B$2:$H$327,4,FALSE),"")</f>
        <v>NA</v>
      </c>
      <c r="H51" s="67">
        <f>IFERROR(VLOOKUP(D51,BTiradores!$B$2:$H$327,5,FALSE),"")</f>
        <v>1</v>
      </c>
      <c r="I51" s="66">
        <f>IFERROR(VLOOKUP(D51,BTiradores!$B$2:$H$327,6,FALSE),"")</f>
        <v>1</v>
      </c>
      <c r="J51" s="66" t="str">
        <f>IFERROR(VLOOKUP(D51,BTiradores!$B$2:$H$327,7,FALSE),"")</f>
        <v>SR</v>
      </c>
      <c r="K51" s="43">
        <v>23</v>
      </c>
      <c r="L51" s="43">
        <v>22</v>
      </c>
      <c r="M51" s="43">
        <v>24</v>
      </c>
      <c r="N51" s="43">
        <v>23</v>
      </c>
      <c r="O51" s="66">
        <f t="shared" si="4"/>
        <v>92</v>
      </c>
      <c r="P51" s="39"/>
      <c r="Q51" s="72">
        <f t="shared" si="5"/>
        <v>92</v>
      </c>
    </row>
    <row r="52" spans="1:20" s="52" customFormat="1" ht="15.95" customHeight="1" x14ac:dyDescent="0.2">
      <c r="A52" s="164">
        <v>9</v>
      </c>
      <c r="B52" s="141">
        <v>49</v>
      </c>
      <c r="C52" s="143" t="s">
        <v>693</v>
      </c>
      <c r="D52" s="135"/>
      <c r="E52" s="62" t="str">
        <f>IFERROR(VLOOKUP(D52,BTiradores!$B$2:$H$327,2,FALSE),"")</f>
        <v/>
      </c>
      <c r="F52" s="63" t="str">
        <f>IFERROR(VLOOKUP(D52,BTiradores!$B$2:$H$327,3,FALSE),"")</f>
        <v/>
      </c>
      <c r="G52" s="63" t="str">
        <f>IFERROR(VLOOKUP(D52,BTiradores!$B$2:$H$327,4,FALSE),"")</f>
        <v/>
      </c>
      <c r="H52" s="64" t="str">
        <f>IFERROR(VLOOKUP(D52,BTiradores!$B$2:$H$327,5,FALSE),"")</f>
        <v/>
      </c>
      <c r="I52" s="63" t="str">
        <f>IFERROR(VLOOKUP(D52,BTiradores!$B$2:$H$327,6,FALSE),"")</f>
        <v/>
      </c>
      <c r="J52" s="63" t="str">
        <f>IFERROR(VLOOKUP(D52,BTiradores!$B$2:$H$327,7,FALSE),"")</f>
        <v/>
      </c>
      <c r="K52" s="42"/>
      <c r="L52" s="42"/>
      <c r="M52" s="42"/>
      <c r="N52" s="42"/>
      <c r="O52" s="63">
        <f t="shared" si="4"/>
        <v>0</v>
      </c>
      <c r="P52" s="40"/>
      <c r="Q52" s="71">
        <f t="shared" si="5"/>
        <v>0</v>
      </c>
      <c r="R52" s="49"/>
      <c r="S52" s="49"/>
      <c r="T52" s="49"/>
    </row>
    <row r="53" spans="1:20" s="52" customFormat="1" ht="15.95" customHeight="1" x14ac:dyDescent="0.2">
      <c r="A53" s="164"/>
      <c r="B53" s="141">
        <v>50</v>
      </c>
      <c r="C53" s="144" t="s">
        <v>694</v>
      </c>
      <c r="D53" s="136"/>
      <c r="E53" s="65" t="str">
        <f>IFERROR(VLOOKUP(D53,BTiradores!$B$2:$H$327,2,FALSE),"")</f>
        <v/>
      </c>
      <c r="F53" s="66" t="str">
        <f>IFERROR(VLOOKUP(D53,BTiradores!$B$2:$H$327,3,FALSE),"")</f>
        <v/>
      </c>
      <c r="G53" s="66" t="str">
        <f>IFERROR(VLOOKUP(D53,BTiradores!$B$2:$H$327,4,FALSE),"")</f>
        <v/>
      </c>
      <c r="H53" s="67" t="str">
        <f>IFERROR(VLOOKUP(D53,BTiradores!$B$2:$H$327,5,FALSE),"")</f>
        <v/>
      </c>
      <c r="I53" s="66" t="str">
        <f>IFERROR(VLOOKUP(D53,BTiradores!$B$2:$H$327,6,FALSE),"")</f>
        <v/>
      </c>
      <c r="J53" s="66" t="str">
        <f>IFERROR(VLOOKUP(D53,BTiradores!$B$2:$H$327,7,FALSE),"")</f>
        <v/>
      </c>
      <c r="K53" s="43"/>
      <c r="L53" s="43"/>
      <c r="M53" s="43"/>
      <c r="N53" s="43"/>
      <c r="O53" s="66">
        <f t="shared" si="4"/>
        <v>0</v>
      </c>
      <c r="P53" s="39"/>
      <c r="Q53" s="72">
        <f t="shared" si="5"/>
        <v>0</v>
      </c>
    </row>
    <row r="54" spans="1:20" s="52" customFormat="1" ht="15.95" customHeight="1" x14ac:dyDescent="0.2">
      <c r="A54" s="164"/>
      <c r="B54" s="141">
        <v>51</v>
      </c>
      <c r="C54" s="144" t="s">
        <v>695</v>
      </c>
      <c r="D54" s="136"/>
      <c r="E54" s="65" t="str">
        <f>IFERROR(VLOOKUP(D54,BTiradores!$B$2:$H$327,2,FALSE),"")</f>
        <v/>
      </c>
      <c r="F54" s="66" t="str">
        <f>IFERROR(VLOOKUP(D54,BTiradores!$B$2:$H$327,3,FALSE),"")</f>
        <v/>
      </c>
      <c r="G54" s="66" t="str">
        <f>IFERROR(VLOOKUP(D54,BTiradores!$B$2:$H$327,4,FALSE),"")</f>
        <v/>
      </c>
      <c r="H54" s="67" t="str">
        <f>IFERROR(VLOOKUP(D54,BTiradores!$B$2:$H$327,5,FALSE),"")</f>
        <v/>
      </c>
      <c r="I54" s="66" t="str">
        <f>IFERROR(VLOOKUP(D54,BTiradores!$B$2:$H$327,6,FALSE),"")</f>
        <v/>
      </c>
      <c r="J54" s="66" t="str">
        <f>IFERROR(VLOOKUP(D54,BTiradores!$B$2:$H$327,7,FALSE),"")</f>
        <v/>
      </c>
      <c r="K54" s="43"/>
      <c r="L54" s="43"/>
      <c r="M54" s="43"/>
      <c r="N54" s="43"/>
      <c r="O54" s="66">
        <f t="shared" si="4"/>
        <v>0</v>
      </c>
      <c r="P54" s="39"/>
      <c r="Q54" s="72">
        <f t="shared" si="5"/>
        <v>0</v>
      </c>
    </row>
    <row r="55" spans="1:20" s="52" customFormat="1" ht="15.95" customHeight="1" x14ac:dyDescent="0.2">
      <c r="A55" s="164"/>
      <c r="B55" s="141">
        <v>52</v>
      </c>
      <c r="C55" s="144" t="s">
        <v>696</v>
      </c>
      <c r="D55" s="136"/>
      <c r="E55" s="65" t="str">
        <f>IFERROR(VLOOKUP(D55,BTiradores!$B$2:$H$327,2,FALSE),"")</f>
        <v/>
      </c>
      <c r="F55" s="66" t="str">
        <f>IFERROR(VLOOKUP(D55,BTiradores!$B$2:$H$327,3,FALSE),"")</f>
        <v/>
      </c>
      <c r="G55" s="66" t="str">
        <f>IFERROR(VLOOKUP(D55,BTiradores!$B$2:$H$327,4,FALSE),"")</f>
        <v/>
      </c>
      <c r="H55" s="67" t="str">
        <f>IFERROR(VLOOKUP(D55,BTiradores!$B$2:$H$327,5,FALSE),"")</f>
        <v/>
      </c>
      <c r="I55" s="66" t="str">
        <f>IFERROR(VLOOKUP(D55,BTiradores!$B$2:$H$327,6,FALSE),"")</f>
        <v/>
      </c>
      <c r="J55" s="66" t="str">
        <f>IFERROR(VLOOKUP(D55,BTiradores!$B$2:$H$327,7,FALSE),"")</f>
        <v/>
      </c>
      <c r="K55" s="43"/>
      <c r="L55" s="43"/>
      <c r="M55" s="43"/>
      <c r="N55" s="43"/>
      <c r="O55" s="66">
        <f t="shared" si="4"/>
        <v>0</v>
      </c>
      <c r="P55" s="39"/>
      <c r="Q55" s="72">
        <f t="shared" si="5"/>
        <v>0</v>
      </c>
    </row>
    <row r="56" spans="1:20" s="52" customFormat="1" ht="15.95" customHeight="1" x14ac:dyDescent="0.2">
      <c r="A56" s="164"/>
      <c r="B56" s="141">
        <v>53</v>
      </c>
      <c r="C56" s="144" t="s">
        <v>697</v>
      </c>
      <c r="D56" s="136"/>
      <c r="E56" s="65" t="str">
        <f>IFERROR(VLOOKUP(D56,BTiradores!$B$2:$H$327,2,FALSE),"")</f>
        <v/>
      </c>
      <c r="F56" s="66" t="str">
        <f>IFERROR(VLOOKUP(D56,BTiradores!$B$2:$H$327,3,FALSE),"")</f>
        <v/>
      </c>
      <c r="G56" s="66" t="str">
        <f>IFERROR(VLOOKUP(D56,BTiradores!$B$2:$H$327,4,FALSE),"")</f>
        <v/>
      </c>
      <c r="H56" s="67" t="str">
        <f>IFERROR(VLOOKUP(D56,BTiradores!$B$2:$H$327,5,FALSE),"")</f>
        <v/>
      </c>
      <c r="I56" s="66" t="str">
        <f>IFERROR(VLOOKUP(D56,BTiradores!$B$2:$H$327,6,FALSE),"")</f>
        <v/>
      </c>
      <c r="J56" s="66" t="str">
        <f>IFERROR(VLOOKUP(D56,BTiradores!$B$2:$H$327,7,FALSE),"")</f>
        <v/>
      </c>
      <c r="K56" s="43"/>
      <c r="L56" s="43"/>
      <c r="M56" s="43"/>
      <c r="N56" s="43"/>
      <c r="O56" s="66">
        <f t="shared" si="4"/>
        <v>0</v>
      </c>
      <c r="P56" s="39"/>
      <c r="Q56" s="72">
        <f t="shared" si="5"/>
        <v>0</v>
      </c>
    </row>
    <row r="57" spans="1:20" s="52" customFormat="1" ht="15.95" customHeight="1" x14ac:dyDescent="0.2">
      <c r="A57" s="164"/>
      <c r="B57" s="141">
        <v>54</v>
      </c>
      <c r="C57" s="145" t="s">
        <v>698</v>
      </c>
      <c r="D57" s="137"/>
      <c r="E57" s="68" t="str">
        <f>IFERROR(VLOOKUP(D57,BTiradores!$B$2:$H$327,2,FALSE),"")</f>
        <v/>
      </c>
      <c r="F57" s="69" t="str">
        <f>IFERROR(VLOOKUP(D57,BTiradores!$B$2:$H$327,3,FALSE),"")</f>
        <v/>
      </c>
      <c r="G57" s="69" t="str">
        <f>IFERROR(VLOOKUP(D57,BTiradores!$B$2:$H$327,4,FALSE),"")</f>
        <v/>
      </c>
      <c r="H57" s="70" t="str">
        <f>IFERROR(VLOOKUP(D57,BTiradores!$B$2:$H$327,5,FALSE),"")</f>
        <v/>
      </c>
      <c r="I57" s="69" t="str">
        <f>IFERROR(VLOOKUP(D57,BTiradores!$B$2:$H$327,6,FALSE),"")</f>
        <v/>
      </c>
      <c r="J57" s="69" t="str">
        <f>IFERROR(VLOOKUP(D57,BTiradores!$B$2:$H$327,7,FALSE),"")</f>
        <v/>
      </c>
      <c r="K57" s="44"/>
      <c r="L57" s="44"/>
      <c r="M57" s="44"/>
      <c r="N57" s="44"/>
      <c r="O57" s="69">
        <f t="shared" si="4"/>
        <v>0</v>
      </c>
      <c r="P57" s="41"/>
      <c r="Q57" s="73">
        <f t="shared" si="5"/>
        <v>0</v>
      </c>
    </row>
    <row r="58" spans="1:20" s="52" customFormat="1" ht="15.95" customHeight="1" x14ac:dyDescent="0.2">
      <c r="A58" s="165">
        <v>10</v>
      </c>
      <c r="B58" s="61">
        <v>55</v>
      </c>
      <c r="C58" s="51" t="s">
        <v>699</v>
      </c>
      <c r="D58" s="136"/>
      <c r="E58" s="65" t="str">
        <f>IFERROR(VLOOKUP(D58,BTiradores!$B$2:$H$327,2,FALSE),"")</f>
        <v/>
      </c>
      <c r="F58" s="66" t="str">
        <f>IFERROR(VLOOKUP(D58,BTiradores!$B$2:$H$327,3,FALSE),"")</f>
        <v/>
      </c>
      <c r="G58" s="66" t="str">
        <f>IFERROR(VLOOKUP(D58,BTiradores!$B$2:$H$327,4,FALSE),"")</f>
        <v/>
      </c>
      <c r="H58" s="67" t="str">
        <f>IFERROR(VLOOKUP(D58,BTiradores!$B$2:$H$327,5,FALSE),"")</f>
        <v/>
      </c>
      <c r="I58" s="66" t="str">
        <f>IFERROR(VLOOKUP(D58,BTiradores!$B$2:$H$327,6,FALSE),"")</f>
        <v/>
      </c>
      <c r="J58" s="66" t="str">
        <f>IFERROR(VLOOKUP(D58,BTiradores!$B$2:$H$327,7,FALSE),"")</f>
        <v/>
      </c>
      <c r="K58" s="43"/>
      <c r="L58" s="43"/>
      <c r="M58" s="43"/>
      <c r="N58" s="43"/>
      <c r="O58" s="66">
        <f t="shared" si="4"/>
        <v>0</v>
      </c>
      <c r="P58" s="39"/>
      <c r="Q58" s="72">
        <f t="shared" si="5"/>
        <v>0</v>
      </c>
    </row>
    <row r="59" spans="1:20" s="52" customFormat="1" ht="15.95" customHeight="1" x14ac:dyDescent="0.2">
      <c r="A59" s="165"/>
      <c r="B59" s="61">
        <v>56</v>
      </c>
      <c r="C59" s="51" t="s">
        <v>700</v>
      </c>
      <c r="D59" s="136"/>
      <c r="E59" s="65" t="str">
        <f>IFERROR(VLOOKUP(D59,BTiradores!$B$2:$H$327,2,FALSE),"")</f>
        <v/>
      </c>
      <c r="F59" s="66" t="str">
        <f>IFERROR(VLOOKUP(D59,BTiradores!$B$2:$H$327,3,FALSE),"")</f>
        <v/>
      </c>
      <c r="G59" s="66" t="str">
        <f>IFERROR(VLOOKUP(D59,BTiradores!$B$2:$H$327,4,FALSE),"")</f>
        <v/>
      </c>
      <c r="H59" s="67" t="str">
        <f>IFERROR(VLOOKUP(D59,BTiradores!$B$2:$H$327,5,FALSE),"")</f>
        <v/>
      </c>
      <c r="I59" s="66" t="str">
        <f>IFERROR(VLOOKUP(D59,BTiradores!$B$2:$H$327,6,FALSE),"")</f>
        <v/>
      </c>
      <c r="J59" s="66" t="str">
        <f>IFERROR(VLOOKUP(D59,BTiradores!$B$2:$H$327,7,FALSE),"")</f>
        <v/>
      </c>
      <c r="K59" s="43"/>
      <c r="L59" s="43"/>
      <c r="M59" s="43"/>
      <c r="N59" s="43"/>
      <c r="O59" s="66">
        <f t="shared" si="4"/>
        <v>0</v>
      </c>
      <c r="P59" s="39"/>
      <c r="Q59" s="72">
        <f t="shared" si="5"/>
        <v>0</v>
      </c>
    </row>
    <row r="60" spans="1:20" s="52" customFormat="1" ht="15.95" customHeight="1" x14ac:dyDescent="0.2">
      <c r="A60" s="165"/>
      <c r="B60" s="61">
        <v>57</v>
      </c>
      <c r="C60" s="51" t="s">
        <v>701</v>
      </c>
      <c r="D60" s="136"/>
      <c r="E60" s="65" t="str">
        <f>IFERROR(VLOOKUP(D60,BTiradores!$B$2:$H$327,2,FALSE),"")</f>
        <v/>
      </c>
      <c r="F60" s="66" t="str">
        <f>IFERROR(VLOOKUP(D60,BTiradores!$B$2:$H$327,3,FALSE),"")</f>
        <v/>
      </c>
      <c r="G60" s="66" t="str">
        <f>IFERROR(VLOOKUP(D60,BTiradores!$B$2:$H$327,4,FALSE),"")</f>
        <v/>
      </c>
      <c r="H60" s="67" t="str">
        <f>IFERROR(VLOOKUP(D60,BTiradores!$B$2:$H$327,5,FALSE),"")</f>
        <v/>
      </c>
      <c r="I60" s="66" t="str">
        <f>IFERROR(VLOOKUP(D60,BTiradores!$B$2:$H$327,6,FALSE),"")</f>
        <v/>
      </c>
      <c r="J60" s="66" t="str">
        <f>IFERROR(VLOOKUP(D60,BTiradores!$B$2:$H$327,7,FALSE),"")</f>
        <v/>
      </c>
      <c r="K60" s="43"/>
      <c r="L60" s="43"/>
      <c r="M60" s="43"/>
      <c r="N60" s="43"/>
      <c r="O60" s="66">
        <f t="shared" si="4"/>
        <v>0</v>
      </c>
      <c r="P60" s="39"/>
      <c r="Q60" s="72">
        <f t="shared" si="5"/>
        <v>0</v>
      </c>
    </row>
    <row r="61" spans="1:20" s="52" customFormat="1" ht="15.95" customHeight="1" x14ac:dyDescent="0.2">
      <c r="A61" s="165"/>
      <c r="B61" s="61">
        <v>58</v>
      </c>
      <c r="C61" s="51" t="s">
        <v>702</v>
      </c>
      <c r="D61" s="136"/>
      <c r="E61" s="65" t="str">
        <f>IFERROR(VLOOKUP(D61,BTiradores!$B$2:$H$327,2,FALSE),"")</f>
        <v/>
      </c>
      <c r="F61" s="66" t="str">
        <f>IFERROR(VLOOKUP(D61,BTiradores!$B$2:$H$327,3,FALSE),"")</f>
        <v/>
      </c>
      <c r="G61" s="66" t="str">
        <f>IFERROR(VLOOKUP(D61,BTiradores!$B$2:$H$327,4,FALSE),"")</f>
        <v/>
      </c>
      <c r="H61" s="67" t="str">
        <f>IFERROR(VLOOKUP(D61,BTiradores!$B$2:$H$327,5,FALSE),"")</f>
        <v/>
      </c>
      <c r="I61" s="66" t="str">
        <f>IFERROR(VLOOKUP(D61,BTiradores!$B$2:$H$327,6,FALSE),"")</f>
        <v/>
      </c>
      <c r="J61" s="66" t="str">
        <f>IFERROR(VLOOKUP(D61,BTiradores!$B$2:$H$327,7,FALSE),"")</f>
        <v/>
      </c>
      <c r="K61" s="43"/>
      <c r="L61" s="43"/>
      <c r="M61" s="43"/>
      <c r="N61" s="43"/>
      <c r="O61" s="66">
        <f t="shared" si="4"/>
        <v>0</v>
      </c>
      <c r="P61" s="39"/>
      <c r="Q61" s="72">
        <f t="shared" si="5"/>
        <v>0</v>
      </c>
    </row>
    <row r="62" spans="1:20" s="52" customFormat="1" ht="15.95" customHeight="1" x14ac:dyDescent="0.2">
      <c r="A62" s="165"/>
      <c r="B62" s="61">
        <v>59</v>
      </c>
      <c r="C62" s="51" t="s">
        <v>703</v>
      </c>
      <c r="D62" s="136"/>
      <c r="E62" s="65" t="str">
        <f>IFERROR(VLOOKUP(D62,BTiradores!$B$2:$H$327,2,FALSE),"")</f>
        <v/>
      </c>
      <c r="F62" s="66" t="str">
        <f>IFERROR(VLOOKUP(D62,BTiradores!$B$2:$H$327,3,FALSE),"")</f>
        <v/>
      </c>
      <c r="G62" s="66" t="str">
        <f>IFERROR(VLOOKUP(D62,BTiradores!$B$2:$H$327,4,FALSE),"")</f>
        <v/>
      </c>
      <c r="H62" s="67" t="str">
        <f>IFERROR(VLOOKUP(D62,BTiradores!$B$2:$H$327,5,FALSE),"")</f>
        <v/>
      </c>
      <c r="I62" s="66" t="str">
        <f>IFERROR(VLOOKUP(D62,BTiradores!$B$2:$H$327,6,FALSE),"")</f>
        <v/>
      </c>
      <c r="J62" s="66" t="str">
        <f>IFERROR(VLOOKUP(D62,BTiradores!$B$2:$H$327,7,FALSE),"")</f>
        <v/>
      </c>
      <c r="K62" s="43"/>
      <c r="L62" s="43"/>
      <c r="M62" s="43"/>
      <c r="N62" s="43"/>
      <c r="O62" s="66">
        <f t="shared" si="4"/>
        <v>0</v>
      </c>
      <c r="P62" s="39"/>
      <c r="Q62" s="72">
        <f t="shared" si="5"/>
        <v>0</v>
      </c>
    </row>
    <row r="63" spans="1:20" s="52" customFormat="1" ht="15.95" customHeight="1" x14ac:dyDescent="0.2">
      <c r="A63" s="165"/>
      <c r="B63" s="61">
        <v>60</v>
      </c>
      <c r="C63" s="51" t="s">
        <v>704</v>
      </c>
      <c r="D63" s="136"/>
      <c r="E63" s="65" t="str">
        <f>IFERROR(VLOOKUP(D63,BTiradores!$B$2:$H$327,2,FALSE),"")</f>
        <v/>
      </c>
      <c r="F63" s="66" t="str">
        <f>IFERROR(VLOOKUP(D63,BTiradores!$B$2:$H$327,3,FALSE),"")</f>
        <v/>
      </c>
      <c r="G63" s="66" t="str">
        <f>IFERROR(VLOOKUP(D63,BTiradores!$B$2:$H$327,4,FALSE),"")</f>
        <v/>
      </c>
      <c r="H63" s="67" t="str">
        <f>IFERROR(VLOOKUP(D63,BTiradores!$B$2:$H$327,5,FALSE),"")</f>
        <v/>
      </c>
      <c r="I63" s="66" t="str">
        <f>IFERROR(VLOOKUP(D63,BTiradores!$B$2:$H$327,6,FALSE),"")</f>
        <v/>
      </c>
      <c r="J63" s="66" t="str">
        <f>IFERROR(VLOOKUP(D63,BTiradores!$B$2:$H$327,7,FALSE),"")</f>
        <v/>
      </c>
      <c r="K63" s="43"/>
      <c r="L63" s="43"/>
      <c r="M63" s="43"/>
      <c r="N63" s="43"/>
      <c r="O63" s="66">
        <f t="shared" si="4"/>
        <v>0</v>
      </c>
      <c r="P63" s="39"/>
      <c r="Q63" s="72">
        <f t="shared" si="5"/>
        <v>0</v>
      </c>
    </row>
    <row r="64" spans="1:20" s="52" customFormat="1" ht="15.95" customHeight="1" x14ac:dyDescent="0.2">
      <c r="A64" s="164">
        <v>11</v>
      </c>
      <c r="B64" s="141">
        <v>61</v>
      </c>
      <c r="C64" s="143"/>
      <c r="D64" s="135"/>
      <c r="E64" s="62" t="str">
        <f>IFERROR(VLOOKUP(D64,BTiradores!$B$2:$H$327,2,FALSE),"")</f>
        <v/>
      </c>
      <c r="F64" s="63" t="str">
        <f>IFERROR(VLOOKUP(D64,BTiradores!$B$2:$H$327,3,FALSE),"")</f>
        <v/>
      </c>
      <c r="G64" s="63" t="str">
        <f>IFERROR(VLOOKUP(D64,BTiradores!$B$2:$H$327,4,FALSE),"")</f>
        <v/>
      </c>
      <c r="H64" s="64" t="str">
        <f>IFERROR(VLOOKUP(D64,BTiradores!$B$2:$H$327,5,FALSE),"")</f>
        <v/>
      </c>
      <c r="I64" s="63" t="str">
        <f>IFERROR(VLOOKUP(D64,BTiradores!$B$2:$H$327,6,FALSE),"")</f>
        <v/>
      </c>
      <c r="J64" s="63" t="str">
        <f>IFERROR(VLOOKUP(D64,BTiradores!$B$2:$H$327,7,FALSE),"")</f>
        <v/>
      </c>
      <c r="K64" s="42"/>
      <c r="L64" s="42"/>
      <c r="M64" s="42"/>
      <c r="N64" s="42"/>
      <c r="O64" s="63">
        <f t="shared" si="2"/>
        <v>0</v>
      </c>
      <c r="P64" s="40"/>
      <c r="Q64" s="71">
        <f t="shared" si="3"/>
        <v>0</v>
      </c>
      <c r="R64" s="52">
        <f>SUM(R4:R63)</f>
        <v>1440</v>
      </c>
      <c r="S64" s="52">
        <v>-1340</v>
      </c>
      <c r="T64" s="52">
        <f>SUM(R64:S64)</f>
        <v>100</v>
      </c>
    </row>
    <row r="65" spans="1:17" s="52" customFormat="1" ht="15.95" customHeight="1" x14ac:dyDescent="0.2">
      <c r="A65" s="164"/>
      <c r="B65" s="141">
        <v>62</v>
      </c>
      <c r="C65" s="144"/>
      <c r="D65" s="136"/>
      <c r="E65" s="65" t="str">
        <f>IFERROR(VLOOKUP(D65,BTiradores!$B$2:$H$327,2,FALSE),"")</f>
        <v/>
      </c>
      <c r="F65" s="66" t="str">
        <f>IFERROR(VLOOKUP(D65,BTiradores!$B$2:$H$327,3,FALSE),"")</f>
        <v/>
      </c>
      <c r="G65" s="66" t="str">
        <f>IFERROR(VLOOKUP(D65,BTiradores!$B$2:$H$327,4,FALSE),"")</f>
        <v/>
      </c>
      <c r="H65" s="67" t="str">
        <f>IFERROR(VLOOKUP(D65,BTiradores!$B$2:$H$327,5,FALSE),"")</f>
        <v/>
      </c>
      <c r="I65" s="66" t="str">
        <f>IFERROR(VLOOKUP(D65,BTiradores!$B$2:$H$327,6,FALSE),"")</f>
        <v/>
      </c>
      <c r="J65" s="66" t="str">
        <f>IFERROR(VLOOKUP(D65,BTiradores!$B$2:$H$327,7,FALSE),"")</f>
        <v/>
      </c>
      <c r="K65" s="43"/>
      <c r="L65" s="43"/>
      <c r="M65" s="43"/>
      <c r="N65" s="43"/>
      <c r="O65" s="66">
        <f t="shared" si="2"/>
        <v>0</v>
      </c>
      <c r="P65" s="39"/>
      <c r="Q65" s="72">
        <f t="shared" si="3"/>
        <v>0</v>
      </c>
    </row>
    <row r="66" spans="1:17" s="52" customFormat="1" ht="15.95" customHeight="1" x14ac:dyDescent="0.2">
      <c r="A66" s="164"/>
      <c r="B66" s="141">
        <v>63</v>
      </c>
      <c r="C66" s="144"/>
      <c r="D66" s="136"/>
      <c r="E66" s="65" t="str">
        <f>IFERROR(VLOOKUP(D66,BTiradores!$B$2:$H$327,2,FALSE),"")</f>
        <v/>
      </c>
      <c r="F66" s="66" t="str">
        <f>IFERROR(VLOOKUP(D66,BTiradores!$B$2:$H$327,3,FALSE),"")</f>
        <v/>
      </c>
      <c r="G66" s="66" t="str">
        <f>IFERROR(VLOOKUP(D66,BTiradores!$B$2:$H$327,4,FALSE),"")</f>
        <v/>
      </c>
      <c r="H66" s="67" t="str">
        <f>IFERROR(VLOOKUP(D66,BTiradores!$B$2:$H$327,5,FALSE),"")</f>
        <v/>
      </c>
      <c r="I66" s="66" t="str">
        <f>IFERROR(VLOOKUP(D66,BTiradores!$B$2:$H$327,6,FALSE),"")</f>
        <v/>
      </c>
      <c r="J66" s="66" t="str">
        <f>IFERROR(VLOOKUP(D66,BTiradores!$B$2:$H$327,7,FALSE),"")</f>
        <v/>
      </c>
      <c r="K66" s="43"/>
      <c r="L66" s="43"/>
      <c r="M66" s="43"/>
      <c r="N66" s="43"/>
      <c r="O66" s="66">
        <f t="shared" si="2"/>
        <v>0</v>
      </c>
      <c r="P66" s="39"/>
      <c r="Q66" s="72">
        <f t="shared" si="3"/>
        <v>0</v>
      </c>
    </row>
    <row r="67" spans="1:17" s="52" customFormat="1" ht="15.95" customHeight="1" x14ac:dyDescent="0.2">
      <c r="A67" s="164"/>
      <c r="B67" s="141">
        <v>64</v>
      </c>
      <c r="C67" s="144"/>
      <c r="D67" s="136"/>
      <c r="E67" s="65" t="str">
        <f>IFERROR(VLOOKUP(D67,BTiradores!$B$2:$H$327,2,FALSE),"")</f>
        <v/>
      </c>
      <c r="F67" s="66" t="str">
        <f>IFERROR(VLOOKUP(D67,BTiradores!$B$2:$H$327,3,FALSE),"")</f>
        <v/>
      </c>
      <c r="G67" s="66" t="str">
        <f>IFERROR(VLOOKUP(D67,BTiradores!$B$2:$H$327,4,FALSE),"")</f>
        <v/>
      </c>
      <c r="H67" s="67" t="str">
        <f>IFERROR(VLOOKUP(D67,BTiradores!$B$2:$H$327,5,FALSE),"")</f>
        <v/>
      </c>
      <c r="I67" s="66" t="str">
        <f>IFERROR(VLOOKUP(D67,BTiradores!$B$2:$H$327,6,FALSE),"")</f>
        <v/>
      </c>
      <c r="J67" s="66" t="str">
        <f>IFERROR(VLOOKUP(D67,BTiradores!$B$2:$H$327,7,FALSE),"")</f>
        <v/>
      </c>
      <c r="K67" s="43"/>
      <c r="L67" s="43"/>
      <c r="M67" s="43"/>
      <c r="N67" s="43"/>
      <c r="O67" s="66">
        <f t="shared" si="2"/>
        <v>0</v>
      </c>
      <c r="P67" s="39"/>
      <c r="Q67" s="72">
        <f t="shared" si="3"/>
        <v>0</v>
      </c>
    </row>
    <row r="68" spans="1:17" s="52" customFormat="1" ht="15.95" customHeight="1" x14ac:dyDescent="0.2">
      <c r="A68" s="164"/>
      <c r="B68" s="141">
        <v>65</v>
      </c>
      <c r="C68" s="144"/>
      <c r="D68" s="136"/>
      <c r="E68" s="65" t="str">
        <f>IFERROR(VLOOKUP(D68,BTiradores!$B$2:$H$327,2,FALSE),"")</f>
        <v/>
      </c>
      <c r="F68" s="66" t="str">
        <f>IFERROR(VLOOKUP(D68,BTiradores!$B$2:$H$327,3,FALSE),"")</f>
        <v/>
      </c>
      <c r="G68" s="66" t="str">
        <f>IFERROR(VLOOKUP(D68,BTiradores!$B$2:$H$327,4,FALSE),"")</f>
        <v/>
      </c>
      <c r="H68" s="67" t="str">
        <f>IFERROR(VLOOKUP(D68,BTiradores!$B$2:$H$327,5,FALSE),"")</f>
        <v/>
      </c>
      <c r="I68" s="66" t="str">
        <f>IFERROR(VLOOKUP(D68,BTiradores!$B$2:$H$327,6,FALSE),"")</f>
        <v/>
      </c>
      <c r="J68" s="66" t="str">
        <f>IFERROR(VLOOKUP(D68,BTiradores!$B$2:$H$327,7,FALSE),"")</f>
        <v/>
      </c>
      <c r="K68" s="43"/>
      <c r="L68" s="43"/>
      <c r="M68" s="43"/>
      <c r="N68" s="43"/>
      <c r="O68" s="66">
        <f t="shared" si="2"/>
        <v>0</v>
      </c>
      <c r="P68" s="39"/>
      <c r="Q68" s="72">
        <f t="shared" si="3"/>
        <v>0</v>
      </c>
    </row>
    <row r="69" spans="1:17" s="52" customFormat="1" ht="15.95" customHeight="1" x14ac:dyDescent="0.2">
      <c r="A69" s="164"/>
      <c r="B69" s="141">
        <v>66</v>
      </c>
      <c r="C69" s="144"/>
      <c r="D69" s="136"/>
      <c r="E69" s="65" t="str">
        <f>IFERROR(VLOOKUP(D69,BTiradores!$B$2:$H$327,2,FALSE),"")</f>
        <v/>
      </c>
      <c r="F69" s="66" t="str">
        <f>IFERROR(VLOOKUP(D69,BTiradores!$B$2:$H$327,3,FALSE),"")</f>
        <v/>
      </c>
      <c r="G69" s="66" t="str">
        <f>IFERROR(VLOOKUP(D69,BTiradores!$B$2:$H$327,4,FALSE),"")</f>
        <v/>
      </c>
      <c r="H69" s="67" t="str">
        <f>IFERROR(VLOOKUP(D69,BTiradores!$B$2:$H$327,5,FALSE),"")</f>
        <v/>
      </c>
      <c r="I69" s="66" t="str">
        <f>IFERROR(VLOOKUP(D69,BTiradores!$B$2:$H$327,6,FALSE),"")</f>
        <v/>
      </c>
      <c r="J69" s="66" t="str">
        <f>IFERROR(VLOOKUP(D69,BTiradores!$B$2:$H$327,7,FALSE),"")</f>
        <v/>
      </c>
      <c r="K69" s="43"/>
      <c r="L69" s="43"/>
      <c r="M69" s="43"/>
      <c r="N69" s="43"/>
      <c r="O69" s="66">
        <f t="shared" si="2"/>
        <v>0</v>
      </c>
      <c r="P69" s="39"/>
      <c r="Q69" s="72">
        <f t="shared" si="3"/>
        <v>0</v>
      </c>
    </row>
    <row r="70" spans="1:17" s="52" customFormat="1" ht="15.95" customHeight="1" x14ac:dyDescent="0.2">
      <c r="A70" s="165">
        <v>12</v>
      </c>
      <c r="B70" s="142">
        <v>67</v>
      </c>
      <c r="C70" s="143"/>
      <c r="D70" s="146"/>
      <c r="E70" s="62" t="str">
        <f>IFERROR(VLOOKUP(D70,BTiradores!$B$2:$H$327,2,FALSE),"")</f>
        <v/>
      </c>
      <c r="F70" s="63" t="str">
        <f>IFERROR(VLOOKUP(D70,BTiradores!$B$2:$H$327,3,FALSE),"")</f>
        <v/>
      </c>
      <c r="G70" s="63" t="str">
        <f>IFERROR(VLOOKUP(D70,BTiradores!$B$2:$H$327,4,FALSE),"")</f>
        <v/>
      </c>
      <c r="H70" s="64" t="str">
        <f>IFERROR(VLOOKUP(D70,BTiradores!$B$2:$H$327,5,FALSE),"")</f>
        <v/>
      </c>
      <c r="I70" s="63" t="str">
        <f>IFERROR(VLOOKUP(D70,BTiradores!$B$2:$H$327,6,FALSE),"")</f>
        <v/>
      </c>
      <c r="J70" s="63" t="str">
        <f>IFERROR(VLOOKUP(D70,BTiradores!$B$2:$H$327,7,FALSE),"")</f>
        <v/>
      </c>
      <c r="K70" s="40"/>
      <c r="L70" s="40"/>
      <c r="M70" s="40"/>
      <c r="N70" s="40"/>
      <c r="O70" s="63">
        <f t="shared" si="2"/>
        <v>0</v>
      </c>
      <c r="P70" s="40"/>
      <c r="Q70" s="71">
        <f t="shared" si="3"/>
        <v>0</v>
      </c>
    </row>
    <row r="71" spans="1:17" s="52" customFormat="1" ht="15.95" customHeight="1" x14ac:dyDescent="0.2">
      <c r="A71" s="165"/>
      <c r="B71" s="142">
        <v>68</v>
      </c>
      <c r="C71" s="144"/>
      <c r="D71" s="147"/>
      <c r="E71" s="65" t="str">
        <f>IFERROR(VLOOKUP(D71,BTiradores!$B$2:$H$327,2,FALSE),"")</f>
        <v/>
      </c>
      <c r="F71" s="66" t="str">
        <f>IFERROR(VLOOKUP(D71,BTiradores!$B$2:$H$327,3,FALSE),"")</f>
        <v/>
      </c>
      <c r="G71" s="66" t="str">
        <f>IFERROR(VLOOKUP(D71,BTiradores!$B$2:$H$327,4,FALSE),"")</f>
        <v/>
      </c>
      <c r="H71" s="67" t="str">
        <f>IFERROR(VLOOKUP(D71,BTiradores!$B$2:$H$327,5,FALSE),"")</f>
        <v/>
      </c>
      <c r="I71" s="66" t="str">
        <f>IFERROR(VLOOKUP(D71,BTiradores!$B$2:$H$327,6,FALSE),"")</f>
        <v/>
      </c>
      <c r="J71" s="66" t="str">
        <f>IFERROR(VLOOKUP(D71,BTiradores!$B$2:$H$327,7,FALSE),"")</f>
        <v/>
      </c>
      <c r="K71" s="39"/>
      <c r="L71" s="39"/>
      <c r="M71" s="39"/>
      <c r="N71" s="39"/>
      <c r="O71" s="66">
        <f t="shared" ref="O71:O82" si="6">SUM(K71:N71)</f>
        <v>0</v>
      </c>
      <c r="P71" s="39"/>
      <c r="Q71" s="72">
        <f t="shared" ref="Q71:Q82" si="7">SUM(O71:P71)</f>
        <v>0</v>
      </c>
    </row>
    <row r="72" spans="1:17" s="52" customFormat="1" ht="15.95" customHeight="1" x14ac:dyDescent="0.2">
      <c r="A72" s="165"/>
      <c r="B72" s="142">
        <v>69</v>
      </c>
      <c r="C72" s="144"/>
      <c r="D72" s="147"/>
      <c r="E72" s="65" t="str">
        <f>IFERROR(VLOOKUP(D72,BTiradores!$B$2:$H$327,2,FALSE),"")</f>
        <v/>
      </c>
      <c r="F72" s="66" t="str">
        <f>IFERROR(VLOOKUP(D72,BTiradores!$B$2:$H$327,3,FALSE),"")</f>
        <v/>
      </c>
      <c r="G72" s="66" t="str">
        <f>IFERROR(VLOOKUP(D72,BTiradores!$B$2:$H$327,4,FALSE),"")</f>
        <v/>
      </c>
      <c r="H72" s="67" t="str">
        <f>IFERROR(VLOOKUP(D72,BTiradores!$B$2:$H$327,5,FALSE),"")</f>
        <v/>
      </c>
      <c r="I72" s="66" t="str">
        <f>IFERROR(VLOOKUP(D72,BTiradores!$B$2:$H$327,6,FALSE),"")</f>
        <v/>
      </c>
      <c r="J72" s="66" t="str">
        <f>IFERROR(VLOOKUP(D72,BTiradores!$B$2:$H$327,7,FALSE),"")</f>
        <v/>
      </c>
      <c r="K72" s="39"/>
      <c r="L72" s="39"/>
      <c r="M72" s="39"/>
      <c r="N72" s="39"/>
      <c r="O72" s="66">
        <f t="shared" si="6"/>
        <v>0</v>
      </c>
      <c r="P72" s="39"/>
      <c r="Q72" s="72">
        <f t="shared" si="7"/>
        <v>0</v>
      </c>
    </row>
    <row r="73" spans="1:17" s="52" customFormat="1" ht="15.95" customHeight="1" x14ac:dyDescent="0.2">
      <c r="A73" s="165"/>
      <c r="B73" s="142">
        <v>70</v>
      </c>
      <c r="C73" s="144"/>
      <c r="D73" s="147"/>
      <c r="E73" s="65" t="str">
        <f>IFERROR(VLOOKUP(D73,BTiradores!$B$2:$H$327,2,FALSE),"")</f>
        <v/>
      </c>
      <c r="F73" s="66" t="str">
        <f>IFERROR(VLOOKUP(D73,BTiradores!$B$2:$H$327,3,FALSE),"")</f>
        <v/>
      </c>
      <c r="G73" s="66" t="str">
        <f>IFERROR(VLOOKUP(D73,BTiradores!$B$2:$H$327,4,FALSE),"")</f>
        <v/>
      </c>
      <c r="H73" s="67" t="str">
        <f>IFERROR(VLOOKUP(D73,BTiradores!$B$2:$H$327,5,FALSE),"")</f>
        <v/>
      </c>
      <c r="I73" s="66" t="str">
        <f>IFERROR(VLOOKUP(D73,BTiradores!$B$2:$H$327,6,FALSE),"")</f>
        <v/>
      </c>
      <c r="J73" s="66" t="str">
        <f>IFERROR(VLOOKUP(D73,BTiradores!$B$2:$H$327,7,FALSE),"")</f>
        <v/>
      </c>
      <c r="K73" s="39"/>
      <c r="L73" s="39"/>
      <c r="M73" s="39"/>
      <c r="N73" s="39"/>
      <c r="O73" s="66">
        <f t="shared" si="6"/>
        <v>0</v>
      </c>
      <c r="P73" s="39"/>
      <c r="Q73" s="72">
        <f t="shared" si="7"/>
        <v>0</v>
      </c>
    </row>
    <row r="74" spans="1:17" s="52" customFormat="1" ht="15.95" customHeight="1" x14ac:dyDescent="0.2">
      <c r="A74" s="165"/>
      <c r="B74" s="142">
        <v>71</v>
      </c>
      <c r="C74" s="144"/>
      <c r="D74" s="147"/>
      <c r="E74" s="65" t="str">
        <f>IFERROR(VLOOKUP(D74,BTiradores!$B$2:$H$327,2,FALSE),"")</f>
        <v/>
      </c>
      <c r="F74" s="66" t="str">
        <f>IFERROR(VLOOKUP(D74,BTiradores!$B$2:$H$327,3,FALSE),"")</f>
        <v/>
      </c>
      <c r="G74" s="66" t="str">
        <f>IFERROR(VLOOKUP(D74,BTiradores!$B$2:$H$327,4,FALSE),"")</f>
        <v/>
      </c>
      <c r="H74" s="67" t="str">
        <f>IFERROR(VLOOKUP(D74,BTiradores!$B$2:$H$327,5,FALSE),"")</f>
        <v/>
      </c>
      <c r="I74" s="66" t="str">
        <f>IFERROR(VLOOKUP(D74,BTiradores!$B$2:$H$327,6,FALSE),"")</f>
        <v/>
      </c>
      <c r="J74" s="66" t="str">
        <f>IFERROR(VLOOKUP(D74,BTiradores!$B$2:$H$327,7,FALSE),"")</f>
        <v/>
      </c>
      <c r="K74" s="39"/>
      <c r="L74" s="39"/>
      <c r="M74" s="39"/>
      <c r="N74" s="39"/>
      <c r="O74" s="66">
        <f t="shared" si="6"/>
        <v>0</v>
      </c>
      <c r="P74" s="39"/>
      <c r="Q74" s="72">
        <f t="shared" si="7"/>
        <v>0</v>
      </c>
    </row>
    <row r="75" spans="1:17" s="52" customFormat="1" ht="15.95" customHeight="1" x14ac:dyDescent="0.2">
      <c r="A75" s="165"/>
      <c r="B75" s="142">
        <v>72</v>
      </c>
      <c r="C75" s="145"/>
      <c r="D75" s="138"/>
      <c r="E75" s="68" t="str">
        <f>IFERROR(VLOOKUP(D75,BTiradores!$B$2:$H$327,2,FALSE),"")</f>
        <v/>
      </c>
      <c r="F75" s="69" t="str">
        <f>IFERROR(VLOOKUP(D75,BTiradores!$B$2:$H$327,3,FALSE),"")</f>
        <v/>
      </c>
      <c r="G75" s="69" t="str">
        <f>IFERROR(VLOOKUP(D75,BTiradores!$B$2:$H$327,4,FALSE),"")</f>
        <v/>
      </c>
      <c r="H75" s="70" t="str">
        <f>IFERROR(VLOOKUP(D75,BTiradores!$B$2:$H$327,5,FALSE),"")</f>
        <v/>
      </c>
      <c r="I75" s="69" t="str">
        <f>IFERROR(VLOOKUP(D75,BTiradores!$B$2:$H$327,6,FALSE),"")</f>
        <v/>
      </c>
      <c r="J75" s="69" t="str">
        <f>IFERROR(VLOOKUP(D75,BTiradores!$B$2:$H$327,7,FALSE),"")</f>
        <v/>
      </c>
      <c r="K75" s="41"/>
      <c r="L75" s="41"/>
      <c r="M75" s="41"/>
      <c r="N75" s="41"/>
      <c r="O75" s="69">
        <f t="shared" si="6"/>
        <v>0</v>
      </c>
      <c r="P75" s="41"/>
      <c r="Q75" s="73">
        <f t="shared" si="7"/>
        <v>0</v>
      </c>
    </row>
    <row r="76" spans="1:17" s="52" customFormat="1" ht="15.95" customHeight="1" x14ac:dyDescent="0.2">
      <c r="A76" s="164">
        <v>13</v>
      </c>
      <c r="B76" s="141">
        <v>73</v>
      </c>
      <c r="C76" s="143"/>
      <c r="D76" s="146"/>
      <c r="E76" s="62" t="str">
        <f>IFERROR(VLOOKUP(D76,BTiradores!$B$2:$H$327,2,FALSE),"")</f>
        <v/>
      </c>
      <c r="F76" s="63" t="str">
        <f>IFERROR(VLOOKUP(D76,BTiradores!$B$2:$H$327,3,FALSE),"")</f>
        <v/>
      </c>
      <c r="G76" s="63" t="str">
        <f>IFERROR(VLOOKUP(D76,BTiradores!$B$2:$H$327,4,FALSE),"")</f>
        <v/>
      </c>
      <c r="H76" s="64" t="str">
        <f>IFERROR(VLOOKUP(D76,BTiradores!$B$2:$H$327,5,FALSE),"")</f>
        <v/>
      </c>
      <c r="I76" s="63" t="str">
        <f>IFERROR(VLOOKUP(D76,BTiradores!$B$2:$H$327,6,FALSE),"")</f>
        <v/>
      </c>
      <c r="J76" s="63" t="str">
        <f>IFERROR(VLOOKUP(D76,BTiradores!$B$2:$H$327,7,FALSE),"")</f>
        <v/>
      </c>
      <c r="K76" s="40"/>
      <c r="L76" s="40"/>
      <c r="M76" s="40"/>
      <c r="N76" s="40"/>
      <c r="O76" s="63">
        <f t="shared" si="6"/>
        <v>0</v>
      </c>
      <c r="P76" s="40"/>
      <c r="Q76" s="71">
        <f t="shared" si="7"/>
        <v>0</v>
      </c>
    </row>
    <row r="77" spans="1:17" s="52" customFormat="1" ht="15.95" customHeight="1" x14ac:dyDescent="0.2">
      <c r="A77" s="164"/>
      <c r="B77" s="141">
        <v>74</v>
      </c>
      <c r="C77" s="144"/>
      <c r="D77" s="147"/>
      <c r="E77" s="65" t="str">
        <f>IFERROR(VLOOKUP(D77,BTiradores!$B$2:$H$327,2,FALSE),"")</f>
        <v/>
      </c>
      <c r="F77" s="66" t="str">
        <f>IFERROR(VLOOKUP(D77,BTiradores!$B$2:$H$327,3,FALSE),"")</f>
        <v/>
      </c>
      <c r="G77" s="66" t="str">
        <f>IFERROR(VLOOKUP(D77,BTiradores!$B$2:$H$327,4,FALSE),"")</f>
        <v/>
      </c>
      <c r="H77" s="67" t="str">
        <f>IFERROR(VLOOKUP(D77,BTiradores!$B$2:$H$327,5,FALSE),"")</f>
        <v/>
      </c>
      <c r="I77" s="66" t="str">
        <f>IFERROR(VLOOKUP(D77,BTiradores!$B$2:$H$327,6,FALSE),"")</f>
        <v/>
      </c>
      <c r="J77" s="66" t="str">
        <f>IFERROR(VLOOKUP(D77,BTiradores!$B$2:$H$327,7,FALSE),"")</f>
        <v/>
      </c>
      <c r="K77" s="39"/>
      <c r="L77" s="39"/>
      <c r="M77" s="39"/>
      <c r="N77" s="39"/>
      <c r="O77" s="66">
        <f t="shared" si="6"/>
        <v>0</v>
      </c>
      <c r="P77" s="39"/>
      <c r="Q77" s="72">
        <f t="shared" si="7"/>
        <v>0</v>
      </c>
    </row>
    <row r="78" spans="1:17" s="52" customFormat="1" ht="15.95" customHeight="1" x14ac:dyDescent="0.2">
      <c r="A78" s="164"/>
      <c r="B78" s="141">
        <v>75</v>
      </c>
      <c r="C78" s="144"/>
      <c r="D78" s="147"/>
      <c r="E78" s="65" t="str">
        <f>IFERROR(VLOOKUP(D78,BTiradores!$B$2:$H$327,2,FALSE),"")</f>
        <v/>
      </c>
      <c r="F78" s="66" t="str">
        <f>IFERROR(VLOOKUP(D78,BTiradores!$B$2:$H$327,3,FALSE),"")</f>
        <v/>
      </c>
      <c r="G78" s="66" t="str">
        <f>IFERROR(VLOOKUP(D78,BTiradores!$B$2:$H$327,4,FALSE),"")</f>
        <v/>
      </c>
      <c r="H78" s="67" t="str">
        <f>IFERROR(VLOOKUP(D78,BTiradores!$B$2:$H$327,5,FALSE),"")</f>
        <v/>
      </c>
      <c r="I78" s="66" t="str">
        <f>IFERROR(VLOOKUP(D78,BTiradores!$B$2:$H$327,6,FALSE),"")</f>
        <v/>
      </c>
      <c r="J78" s="66" t="str">
        <f>IFERROR(VLOOKUP(D78,BTiradores!$B$2:$H$327,7,FALSE),"")</f>
        <v/>
      </c>
      <c r="K78" s="39"/>
      <c r="L78" s="39"/>
      <c r="M78" s="39"/>
      <c r="N78" s="39"/>
      <c r="O78" s="66">
        <f t="shared" si="6"/>
        <v>0</v>
      </c>
      <c r="P78" s="39"/>
      <c r="Q78" s="72">
        <f t="shared" si="7"/>
        <v>0</v>
      </c>
    </row>
    <row r="79" spans="1:17" s="52" customFormat="1" ht="15.95" customHeight="1" x14ac:dyDescent="0.2">
      <c r="A79" s="164"/>
      <c r="B79" s="141">
        <v>76</v>
      </c>
      <c r="C79" s="144"/>
      <c r="D79" s="45"/>
      <c r="E79" s="65" t="str">
        <f>IFERROR(VLOOKUP(D79,BTiradores!$B$2:$H$327,2,FALSE),"")</f>
        <v/>
      </c>
      <c r="F79" s="66" t="str">
        <f>IFERROR(VLOOKUP(D79,BTiradores!$B$2:$H$327,3,FALSE),"")</f>
        <v/>
      </c>
      <c r="G79" s="66" t="str">
        <f>IFERROR(VLOOKUP(D79,BTiradores!$B$2:$H$327,4,FALSE),"")</f>
        <v/>
      </c>
      <c r="H79" s="67" t="str">
        <f>IFERROR(VLOOKUP(D79,BTiradores!$B$2:$H$327,5,FALSE),"")</f>
        <v/>
      </c>
      <c r="I79" s="66" t="str">
        <f>IFERROR(VLOOKUP(D79,BTiradores!$B$2:$H$327,6,FALSE),"")</f>
        <v/>
      </c>
      <c r="J79" s="66" t="str">
        <f>IFERROR(VLOOKUP(D79,BTiradores!$B$2:$H$327,7,FALSE),"")</f>
        <v/>
      </c>
      <c r="K79" s="39"/>
      <c r="L79" s="39"/>
      <c r="M79" s="39"/>
      <c r="N79" s="39"/>
      <c r="O79" s="66">
        <f t="shared" si="6"/>
        <v>0</v>
      </c>
      <c r="P79" s="39"/>
      <c r="Q79" s="72">
        <f t="shared" si="7"/>
        <v>0</v>
      </c>
    </row>
    <row r="80" spans="1:17" s="52" customFormat="1" ht="15.95" customHeight="1" x14ac:dyDescent="0.2">
      <c r="A80" s="164"/>
      <c r="B80" s="141">
        <v>77</v>
      </c>
      <c r="C80" s="144"/>
      <c r="D80" s="45"/>
      <c r="E80" s="65" t="str">
        <f>IFERROR(VLOOKUP(D80,BTiradores!$B$2:$H$327,2,FALSE),"")</f>
        <v/>
      </c>
      <c r="F80" s="66" t="str">
        <f>IFERROR(VLOOKUP(D80,BTiradores!$B$2:$H$327,3,FALSE),"")</f>
        <v/>
      </c>
      <c r="G80" s="66" t="str">
        <f>IFERROR(VLOOKUP(D80,BTiradores!$B$2:$H$327,4,FALSE),"")</f>
        <v/>
      </c>
      <c r="H80" s="67" t="str">
        <f>IFERROR(VLOOKUP(D80,BTiradores!$B$2:$H$327,5,FALSE),"")</f>
        <v/>
      </c>
      <c r="I80" s="66" t="str">
        <f>IFERROR(VLOOKUP(D80,BTiradores!$B$2:$H$327,6,FALSE),"")</f>
        <v/>
      </c>
      <c r="J80" s="66" t="str">
        <f>IFERROR(VLOOKUP(D80,BTiradores!$B$2:$H$327,7,FALSE),"")</f>
        <v/>
      </c>
      <c r="K80" s="39"/>
      <c r="L80" s="39"/>
      <c r="M80" s="39"/>
      <c r="N80" s="39"/>
      <c r="O80" s="66">
        <f t="shared" si="6"/>
        <v>0</v>
      </c>
      <c r="P80" s="39"/>
      <c r="Q80" s="72">
        <f t="shared" si="7"/>
        <v>0</v>
      </c>
    </row>
    <row r="81" spans="1:17" s="52" customFormat="1" ht="15.95" customHeight="1" x14ac:dyDescent="0.2">
      <c r="A81" s="164"/>
      <c r="B81" s="141">
        <v>78</v>
      </c>
      <c r="C81" s="145"/>
      <c r="D81" s="46"/>
      <c r="E81" s="68" t="str">
        <f>IFERROR(VLOOKUP(D81,BTiradores!$B$2:$H$327,2,FALSE),"")</f>
        <v/>
      </c>
      <c r="F81" s="69" t="str">
        <f>IFERROR(VLOOKUP(D81,BTiradores!$B$2:$H$327,3,FALSE),"")</f>
        <v/>
      </c>
      <c r="G81" s="69" t="str">
        <f>IFERROR(VLOOKUP(D81,BTiradores!$B$2:$H$327,4,FALSE),"")</f>
        <v/>
      </c>
      <c r="H81" s="70" t="str">
        <f>IFERROR(VLOOKUP(D81,BTiradores!$B$2:$H$327,5,FALSE),"")</f>
        <v/>
      </c>
      <c r="I81" s="69" t="str">
        <f>IFERROR(VLOOKUP(D81,BTiradores!$B$2:$H$327,6,FALSE),"")</f>
        <v/>
      </c>
      <c r="J81" s="69" t="str">
        <f>IFERROR(VLOOKUP(D81,BTiradores!$B$2:$H$327,7,FALSE),"")</f>
        <v/>
      </c>
      <c r="K81" s="41"/>
      <c r="L81" s="41"/>
      <c r="M81" s="41"/>
      <c r="N81" s="41"/>
      <c r="O81" s="69">
        <f t="shared" si="6"/>
        <v>0</v>
      </c>
      <c r="P81" s="41"/>
      <c r="Q81" s="73">
        <f t="shared" si="7"/>
        <v>0</v>
      </c>
    </row>
    <row r="82" spans="1:17" s="52" customFormat="1" ht="15.95" customHeight="1" x14ac:dyDescent="0.2">
      <c r="A82" s="165">
        <v>14</v>
      </c>
      <c r="B82" s="142">
        <v>79</v>
      </c>
      <c r="C82" s="143"/>
      <c r="D82" s="47"/>
      <c r="E82" s="62" t="str">
        <f>IFERROR(VLOOKUP(D82,BTiradores!$B$2:$H$327,2,FALSE),"")</f>
        <v/>
      </c>
      <c r="F82" s="63" t="str">
        <f>IFERROR(VLOOKUP(D82,BTiradores!$B$2:$H$327,3,FALSE),"")</f>
        <v/>
      </c>
      <c r="G82" s="63" t="str">
        <f>IFERROR(VLOOKUP(D82,BTiradores!$B$2:$H$327,4,FALSE),"")</f>
        <v/>
      </c>
      <c r="H82" s="64" t="str">
        <f>IFERROR(VLOOKUP(D82,BTiradores!$B$2:$H$327,5,FALSE),"")</f>
        <v/>
      </c>
      <c r="I82" s="63" t="str">
        <f>IFERROR(VLOOKUP(D82,BTiradores!$B$2:$H$327,6,FALSE),"")</f>
        <v/>
      </c>
      <c r="J82" s="63" t="str">
        <f>IFERROR(VLOOKUP(D82,BTiradores!$B$2:$H$327,7,FALSE),"")</f>
        <v/>
      </c>
      <c r="K82" s="40"/>
      <c r="L82" s="40"/>
      <c r="M82" s="40"/>
      <c r="N82" s="40"/>
      <c r="O82" s="63">
        <f t="shared" si="6"/>
        <v>0</v>
      </c>
      <c r="P82" s="40"/>
      <c r="Q82" s="71">
        <f t="shared" si="7"/>
        <v>0</v>
      </c>
    </row>
    <row r="83" spans="1:17" s="52" customFormat="1" ht="15.95" customHeight="1" x14ac:dyDescent="0.2">
      <c r="A83" s="165"/>
      <c r="B83" s="142">
        <v>80</v>
      </c>
      <c r="C83" s="144"/>
      <c r="D83" s="45"/>
      <c r="E83" s="65" t="str">
        <f>IFERROR(VLOOKUP(D83,BTiradores!$B$2:$H$327,2,FALSE),"")</f>
        <v/>
      </c>
      <c r="F83" s="66" t="str">
        <f>IFERROR(VLOOKUP(D83,BTiradores!$B$2:$H$327,3,FALSE),"")</f>
        <v/>
      </c>
      <c r="G83" s="66" t="str">
        <f>IFERROR(VLOOKUP(D83,BTiradores!$B$2:$H$327,4,FALSE),"")</f>
        <v/>
      </c>
      <c r="H83" s="67" t="str">
        <f>IFERROR(VLOOKUP(D83,BTiradores!$B$2:$H$327,5,FALSE),"")</f>
        <v/>
      </c>
      <c r="I83" s="66" t="str">
        <f>IFERROR(VLOOKUP(D83,BTiradores!$B$2:$H$327,6,FALSE),"")</f>
        <v/>
      </c>
      <c r="J83" s="66" t="str">
        <f>IFERROR(VLOOKUP(D83,BTiradores!$B$2:$H$327,7,FALSE),"")</f>
        <v/>
      </c>
      <c r="K83" s="39"/>
      <c r="L83" s="39"/>
      <c r="M83" s="39"/>
      <c r="N83" s="39"/>
      <c r="O83" s="66">
        <f t="shared" ref="O83:O114" si="8">SUM(K83:N83)</f>
        <v>0</v>
      </c>
      <c r="P83" s="39"/>
      <c r="Q83" s="72">
        <f t="shared" ref="Q83:Q114" si="9">SUM(O83:P83)</f>
        <v>0</v>
      </c>
    </row>
    <row r="84" spans="1:17" s="52" customFormat="1" ht="15.95" customHeight="1" x14ac:dyDescent="0.2">
      <c r="A84" s="165"/>
      <c r="B84" s="142">
        <v>81</v>
      </c>
      <c r="C84" s="144"/>
      <c r="D84" s="45"/>
      <c r="E84" s="65" t="str">
        <f>IFERROR(VLOOKUP(D84,BTiradores!$B$2:$H$327,2,FALSE),"")</f>
        <v/>
      </c>
      <c r="F84" s="66" t="str">
        <f>IFERROR(VLOOKUP(D84,BTiradores!$B$2:$H$327,3,FALSE),"")</f>
        <v/>
      </c>
      <c r="G84" s="66" t="str">
        <f>IFERROR(VLOOKUP(D84,BTiradores!$B$2:$H$327,4,FALSE),"")</f>
        <v/>
      </c>
      <c r="H84" s="67" t="str">
        <f>IFERROR(VLOOKUP(D84,BTiradores!$B$2:$H$327,5,FALSE),"")</f>
        <v/>
      </c>
      <c r="I84" s="66" t="str">
        <f>IFERROR(VLOOKUP(D84,BTiradores!$B$2:$H$327,6,FALSE),"")</f>
        <v/>
      </c>
      <c r="J84" s="66" t="str">
        <f>IFERROR(VLOOKUP(D84,BTiradores!$B$2:$H$327,7,FALSE),"")</f>
        <v/>
      </c>
      <c r="K84" s="39"/>
      <c r="L84" s="39"/>
      <c r="M84" s="39"/>
      <c r="N84" s="39"/>
      <c r="O84" s="66">
        <f t="shared" si="8"/>
        <v>0</v>
      </c>
      <c r="P84" s="39"/>
      <c r="Q84" s="72">
        <f t="shared" si="9"/>
        <v>0</v>
      </c>
    </row>
    <row r="85" spans="1:17" s="52" customFormat="1" ht="15.95" customHeight="1" x14ac:dyDescent="0.2">
      <c r="A85" s="165"/>
      <c r="B85" s="142">
        <v>82</v>
      </c>
      <c r="C85" s="144"/>
      <c r="D85" s="45"/>
      <c r="E85" s="65" t="str">
        <f>IFERROR(VLOOKUP(D85,BTiradores!$B$2:$H$327,2,FALSE),"")</f>
        <v/>
      </c>
      <c r="F85" s="66" t="str">
        <f>IFERROR(VLOOKUP(D85,BTiradores!$B$2:$H$327,3,FALSE),"")</f>
        <v/>
      </c>
      <c r="G85" s="66" t="str">
        <f>IFERROR(VLOOKUP(D85,BTiradores!$B$2:$H$327,4,FALSE),"")</f>
        <v/>
      </c>
      <c r="H85" s="67" t="str">
        <f>IFERROR(VLOOKUP(D85,BTiradores!$B$2:$H$327,5,FALSE),"")</f>
        <v/>
      </c>
      <c r="I85" s="66" t="str">
        <f>IFERROR(VLOOKUP(D85,BTiradores!$B$2:$H$327,6,FALSE),"")</f>
        <v/>
      </c>
      <c r="J85" s="66" t="str">
        <f>IFERROR(VLOOKUP(D85,BTiradores!$B$2:$H$327,7,FALSE),"")</f>
        <v/>
      </c>
      <c r="K85" s="39"/>
      <c r="L85" s="39"/>
      <c r="M85" s="39"/>
      <c r="N85" s="39"/>
      <c r="O85" s="66">
        <f t="shared" si="8"/>
        <v>0</v>
      </c>
      <c r="P85" s="39"/>
      <c r="Q85" s="72">
        <f t="shared" si="9"/>
        <v>0</v>
      </c>
    </row>
    <row r="86" spans="1:17" s="52" customFormat="1" ht="15.95" customHeight="1" x14ac:dyDescent="0.2">
      <c r="A86" s="165"/>
      <c r="B86" s="142">
        <v>83</v>
      </c>
      <c r="C86" s="144"/>
      <c r="D86" s="45"/>
      <c r="E86" s="65" t="str">
        <f>IFERROR(VLOOKUP(D86,BTiradores!$B$2:$H$327,2,FALSE),"")</f>
        <v/>
      </c>
      <c r="F86" s="66" t="str">
        <f>IFERROR(VLOOKUP(D86,BTiradores!$B$2:$H$327,3,FALSE),"")</f>
        <v/>
      </c>
      <c r="G86" s="66" t="str">
        <f>IFERROR(VLOOKUP(D86,BTiradores!$B$2:$H$327,4,FALSE),"")</f>
        <v/>
      </c>
      <c r="H86" s="67" t="str">
        <f>IFERROR(VLOOKUP(D86,BTiradores!$B$2:$H$327,5,FALSE),"")</f>
        <v/>
      </c>
      <c r="I86" s="66" t="str">
        <f>IFERROR(VLOOKUP(D86,BTiradores!$B$2:$H$327,6,FALSE),"")</f>
        <v/>
      </c>
      <c r="J86" s="66" t="str">
        <f>IFERROR(VLOOKUP(D86,BTiradores!$B$2:$H$327,7,FALSE),"")</f>
        <v/>
      </c>
      <c r="K86" s="39"/>
      <c r="L86" s="39"/>
      <c r="M86" s="39"/>
      <c r="N86" s="39"/>
      <c r="O86" s="66">
        <f t="shared" si="8"/>
        <v>0</v>
      </c>
      <c r="P86" s="39"/>
      <c r="Q86" s="72">
        <f t="shared" si="9"/>
        <v>0</v>
      </c>
    </row>
    <row r="87" spans="1:17" s="52" customFormat="1" ht="15.95" customHeight="1" x14ac:dyDescent="0.2">
      <c r="A87" s="165"/>
      <c r="B87" s="142">
        <v>84</v>
      </c>
      <c r="C87" s="144"/>
      <c r="D87" s="45"/>
      <c r="E87" s="65" t="str">
        <f>IFERROR(VLOOKUP(D87,BTiradores!$B$2:$H$327,2,FALSE),"")</f>
        <v/>
      </c>
      <c r="F87" s="66" t="str">
        <f>IFERROR(VLOOKUP(D87,BTiradores!$B$2:$H$327,3,FALSE),"")</f>
        <v/>
      </c>
      <c r="G87" s="66" t="str">
        <f>IFERROR(VLOOKUP(D87,BTiradores!$B$2:$H$327,4,FALSE),"")</f>
        <v/>
      </c>
      <c r="H87" s="67" t="str">
        <f>IFERROR(VLOOKUP(D87,BTiradores!$B$2:$H$327,5,FALSE),"")</f>
        <v/>
      </c>
      <c r="I87" s="66" t="str">
        <f>IFERROR(VLOOKUP(D87,BTiradores!$B$2:$H$327,6,FALSE),"")</f>
        <v/>
      </c>
      <c r="J87" s="66" t="str">
        <f>IFERROR(VLOOKUP(D87,BTiradores!$B$2:$H$327,7,FALSE),"")</f>
        <v/>
      </c>
      <c r="K87" s="39"/>
      <c r="L87" s="39"/>
      <c r="M87" s="39"/>
      <c r="N87" s="39"/>
      <c r="O87" s="66">
        <f t="shared" si="8"/>
        <v>0</v>
      </c>
      <c r="P87" s="39"/>
      <c r="Q87" s="72">
        <f t="shared" si="9"/>
        <v>0</v>
      </c>
    </row>
    <row r="88" spans="1:17" s="52" customFormat="1" ht="15.95" customHeight="1" x14ac:dyDescent="0.2">
      <c r="A88" s="164">
        <v>15</v>
      </c>
      <c r="B88" s="141">
        <v>85</v>
      </c>
      <c r="C88" s="143"/>
      <c r="D88" s="47"/>
      <c r="E88" s="62" t="str">
        <f>IFERROR(VLOOKUP(D88,BTiradores!$B$2:$H$327,2,FALSE),"")</f>
        <v/>
      </c>
      <c r="F88" s="63" t="str">
        <f>IFERROR(VLOOKUP(D88,BTiradores!$B$2:$H$327,3,FALSE),"")</f>
        <v/>
      </c>
      <c r="G88" s="63" t="str">
        <f>IFERROR(VLOOKUP(D88,BTiradores!$B$2:$H$327,4,FALSE),"")</f>
        <v/>
      </c>
      <c r="H88" s="64" t="str">
        <f>IFERROR(VLOOKUP(D88,BTiradores!$B$2:$H$327,5,FALSE),"")</f>
        <v/>
      </c>
      <c r="I88" s="63" t="str">
        <f>IFERROR(VLOOKUP(D88,BTiradores!$B$2:$H$327,6,FALSE),"")</f>
        <v/>
      </c>
      <c r="J88" s="63" t="str">
        <f>IFERROR(VLOOKUP(D88,BTiradores!$B$2:$H$327,7,FALSE),"")</f>
        <v/>
      </c>
      <c r="K88" s="40"/>
      <c r="L88" s="40"/>
      <c r="M88" s="40"/>
      <c r="N88" s="40"/>
      <c r="O88" s="63">
        <f t="shared" si="8"/>
        <v>0</v>
      </c>
      <c r="P88" s="40"/>
      <c r="Q88" s="71">
        <f t="shared" si="9"/>
        <v>0</v>
      </c>
    </row>
    <row r="89" spans="1:17" s="52" customFormat="1" ht="15.95" customHeight="1" x14ac:dyDescent="0.2">
      <c r="A89" s="164"/>
      <c r="B89" s="141">
        <v>86</v>
      </c>
      <c r="C89" s="144"/>
      <c r="D89" s="45"/>
      <c r="E89" s="65" t="str">
        <f>IFERROR(VLOOKUP(D89,BTiradores!$B$2:$H$327,2,FALSE),"")</f>
        <v/>
      </c>
      <c r="F89" s="66" t="str">
        <f>IFERROR(VLOOKUP(D89,BTiradores!$B$2:$H$327,3,FALSE),"")</f>
        <v/>
      </c>
      <c r="G89" s="66" t="str">
        <f>IFERROR(VLOOKUP(D89,BTiradores!$B$2:$H$327,4,FALSE),"")</f>
        <v/>
      </c>
      <c r="H89" s="67" t="str">
        <f>IFERROR(VLOOKUP(D89,BTiradores!$B$2:$H$327,5,FALSE),"")</f>
        <v/>
      </c>
      <c r="I89" s="66" t="str">
        <f>IFERROR(VLOOKUP(D89,BTiradores!$B$2:$H$327,6,FALSE),"")</f>
        <v/>
      </c>
      <c r="J89" s="66" t="str">
        <f>IFERROR(VLOOKUP(D89,BTiradores!$B$2:$H$327,7,FALSE),"")</f>
        <v/>
      </c>
      <c r="K89" s="39"/>
      <c r="L89" s="39"/>
      <c r="M89" s="39"/>
      <c r="N89" s="39"/>
      <c r="O89" s="66">
        <f t="shared" si="8"/>
        <v>0</v>
      </c>
      <c r="P89" s="39"/>
      <c r="Q89" s="72">
        <f t="shared" si="9"/>
        <v>0</v>
      </c>
    </row>
    <row r="90" spans="1:17" s="52" customFormat="1" ht="15.95" customHeight="1" x14ac:dyDescent="0.2">
      <c r="A90" s="164"/>
      <c r="B90" s="141">
        <v>87</v>
      </c>
      <c r="C90" s="144"/>
      <c r="D90" s="45"/>
      <c r="E90" s="65" t="str">
        <f>IFERROR(VLOOKUP(D90,BTiradores!$B$2:$H$327,2,FALSE),"")</f>
        <v/>
      </c>
      <c r="F90" s="66" t="str">
        <f>IFERROR(VLOOKUP(D90,BTiradores!$B$2:$H$327,3,FALSE),"")</f>
        <v/>
      </c>
      <c r="G90" s="66" t="str">
        <f>IFERROR(VLOOKUP(D90,BTiradores!$B$2:$H$327,4,FALSE),"")</f>
        <v/>
      </c>
      <c r="H90" s="67" t="str">
        <f>IFERROR(VLOOKUP(D90,BTiradores!$B$2:$H$327,5,FALSE),"")</f>
        <v/>
      </c>
      <c r="I90" s="66" t="str">
        <f>IFERROR(VLOOKUP(D90,BTiradores!$B$2:$H$327,6,FALSE),"")</f>
        <v/>
      </c>
      <c r="J90" s="66" t="str">
        <f>IFERROR(VLOOKUP(D90,BTiradores!$B$2:$H$327,7,FALSE),"")</f>
        <v/>
      </c>
      <c r="K90" s="39"/>
      <c r="L90" s="39"/>
      <c r="M90" s="39"/>
      <c r="N90" s="39"/>
      <c r="O90" s="66">
        <f t="shared" si="8"/>
        <v>0</v>
      </c>
      <c r="P90" s="39"/>
      <c r="Q90" s="72">
        <f t="shared" si="9"/>
        <v>0</v>
      </c>
    </row>
    <row r="91" spans="1:17" s="52" customFormat="1" ht="15.95" customHeight="1" x14ac:dyDescent="0.2">
      <c r="A91" s="164"/>
      <c r="B91" s="141">
        <v>88</v>
      </c>
      <c r="C91" s="144"/>
      <c r="D91" s="45"/>
      <c r="E91" s="65" t="str">
        <f>IFERROR(VLOOKUP(D91,BTiradores!$B$2:$H$327,2,FALSE),"")</f>
        <v/>
      </c>
      <c r="F91" s="66" t="str">
        <f>IFERROR(VLOOKUP(D91,BTiradores!$B$2:$H$327,3,FALSE),"")</f>
        <v/>
      </c>
      <c r="G91" s="66" t="str">
        <f>IFERROR(VLOOKUP(D91,BTiradores!$B$2:$H$327,4,FALSE),"")</f>
        <v/>
      </c>
      <c r="H91" s="67" t="str">
        <f>IFERROR(VLOOKUP(D91,BTiradores!$B$2:$H$327,5,FALSE),"")</f>
        <v/>
      </c>
      <c r="I91" s="66" t="str">
        <f>IFERROR(VLOOKUP(D91,BTiradores!$B$2:$H$327,6,FALSE),"")</f>
        <v/>
      </c>
      <c r="J91" s="66" t="str">
        <f>IFERROR(VLOOKUP(D91,BTiradores!$B$2:$H$327,7,FALSE),"")</f>
        <v/>
      </c>
      <c r="K91" s="39"/>
      <c r="L91" s="39"/>
      <c r="M91" s="39"/>
      <c r="N91" s="39"/>
      <c r="O91" s="66">
        <f t="shared" si="8"/>
        <v>0</v>
      </c>
      <c r="P91" s="39"/>
      <c r="Q91" s="72">
        <f t="shared" si="9"/>
        <v>0</v>
      </c>
    </row>
    <row r="92" spans="1:17" s="52" customFormat="1" ht="15.95" customHeight="1" x14ac:dyDescent="0.2">
      <c r="A92" s="164"/>
      <c r="B92" s="141">
        <v>89</v>
      </c>
      <c r="C92" s="144"/>
      <c r="D92" s="45"/>
      <c r="E92" s="65" t="str">
        <f>IFERROR(VLOOKUP(D92,BTiradores!$B$2:$H$327,2,FALSE),"")</f>
        <v/>
      </c>
      <c r="F92" s="66" t="str">
        <f>IFERROR(VLOOKUP(D92,BTiradores!$B$2:$H$327,3,FALSE),"")</f>
        <v/>
      </c>
      <c r="G92" s="66" t="str">
        <f>IFERROR(VLOOKUP(D92,BTiradores!$B$2:$H$327,4,FALSE),"")</f>
        <v/>
      </c>
      <c r="H92" s="67" t="str">
        <f>IFERROR(VLOOKUP(D92,BTiradores!$B$2:$H$327,5,FALSE),"")</f>
        <v/>
      </c>
      <c r="I92" s="66" t="str">
        <f>IFERROR(VLOOKUP(D92,BTiradores!$B$2:$H$327,6,FALSE),"")</f>
        <v/>
      </c>
      <c r="J92" s="66" t="str">
        <f>IFERROR(VLOOKUP(D92,BTiradores!$B$2:$H$327,7,FALSE),"")</f>
        <v/>
      </c>
      <c r="K92" s="39"/>
      <c r="L92" s="39"/>
      <c r="M92" s="39"/>
      <c r="N92" s="39"/>
      <c r="O92" s="66">
        <f t="shared" si="8"/>
        <v>0</v>
      </c>
      <c r="P92" s="39"/>
      <c r="Q92" s="72">
        <f t="shared" si="9"/>
        <v>0</v>
      </c>
    </row>
    <row r="93" spans="1:17" s="52" customFormat="1" ht="15.95" customHeight="1" x14ac:dyDescent="0.2">
      <c r="A93" s="164"/>
      <c r="B93" s="141">
        <v>90</v>
      </c>
      <c r="C93" s="145"/>
      <c r="D93" s="46"/>
      <c r="E93" s="68" t="str">
        <f>IFERROR(VLOOKUP(D93,BTiradores!$B$2:$H$327,2,FALSE),"")</f>
        <v/>
      </c>
      <c r="F93" s="69" t="str">
        <f>IFERROR(VLOOKUP(D93,BTiradores!$B$2:$H$327,3,FALSE),"")</f>
        <v/>
      </c>
      <c r="G93" s="69" t="str">
        <f>IFERROR(VLOOKUP(D93,BTiradores!$B$2:$H$327,4,FALSE),"")</f>
        <v/>
      </c>
      <c r="H93" s="70" t="str">
        <f>IFERROR(VLOOKUP(D93,BTiradores!$B$2:$H$327,5,FALSE),"")</f>
        <v/>
      </c>
      <c r="I93" s="69" t="str">
        <f>IFERROR(VLOOKUP(D93,BTiradores!$B$2:$H$327,6,FALSE),"")</f>
        <v/>
      </c>
      <c r="J93" s="69" t="str">
        <f>IFERROR(VLOOKUP(D93,BTiradores!$B$2:$H$327,7,FALSE),"")</f>
        <v/>
      </c>
      <c r="K93" s="41"/>
      <c r="L93" s="41"/>
      <c r="M93" s="41"/>
      <c r="N93" s="41"/>
      <c r="O93" s="69">
        <f t="shared" si="8"/>
        <v>0</v>
      </c>
      <c r="P93" s="41"/>
      <c r="Q93" s="73">
        <f t="shared" si="9"/>
        <v>0</v>
      </c>
    </row>
    <row r="94" spans="1:17" s="52" customFormat="1" ht="15.95" customHeight="1" x14ac:dyDescent="0.2">
      <c r="A94" s="165">
        <v>16</v>
      </c>
      <c r="B94" s="142">
        <v>91</v>
      </c>
      <c r="C94" s="144"/>
      <c r="D94" s="45"/>
      <c r="E94" s="65" t="str">
        <f>IFERROR(VLOOKUP(D94,BTiradores!$B$2:$H$327,2,FALSE),"")</f>
        <v/>
      </c>
      <c r="F94" s="66" t="str">
        <f>IFERROR(VLOOKUP(D94,BTiradores!$B$2:$H$327,3,FALSE),"")</f>
        <v/>
      </c>
      <c r="G94" s="66" t="str">
        <f>IFERROR(VLOOKUP(D94,BTiradores!$B$2:$H$327,4,FALSE),"")</f>
        <v/>
      </c>
      <c r="H94" s="67" t="str">
        <f>IFERROR(VLOOKUP(D94,BTiradores!$B$2:$H$327,5,FALSE),"")</f>
        <v/>
      </c>
      <c r="I94" s="66" t="str">
        <f>IFERROR(VLOOKUP(D94,BTiradores!$B$2:$H$327,6,FALSE),"")</f>
        <v/>
      </c>
      <c r="J94" s="66" t="str">
        <f>IFERROR(VLOOKUP(D94,BTiradores!$B$2:$H$327,7,FALSE),"")</f>
        <v/>
      </c>
      <c r="K94" s="39"/>
      <c r="L94" s="39"/>
      <c r="M94" s="39"/>
      <c r="N94" s="39"/>
      <c r="O94" s="66">
        <f t="shared" si="8"/>
        <v>0</v>
      </c>
      <c r="P94" s="39"/>
      <c r="Q94" s="72">
        <f t="shared" si="9"/>
        <v>0</v>
      </c>
    </row>
    <row r="95" spans="1:17" s="52" customFormat="1" ht="15.95" customHeight="1" x14ac:dyDescent="0.2">
      <c r="A95" s="165"/>
      <c r="B95" s="142">
        <v>92</v>
      </c>
      <c r="C95" s="144"/>
      <c r="D95" s="45"/>
      <c r="E95" s="65" t="str">
        <f>IFERROR(VLOOKUP(D95,BTiradores!$B$2:$H$327,2,FALSE),"")</f>
        <v/>
      </c>
      <c r="F95" s="66" t="str">
        <f>IFERROR(VLOOKUP(D95,BTiradores!$B$2:$H$327,3,FALSE),"")</f>
        <v/>
      </c>
      <c r="G95" s="66" t="str">
        <f>IFERROR(VLOOKUP(D95,BTiradores!$B$2:$H$327,4,FALSE),"")</f>
        <v/>
      </c>
      <c r="H95" s="67" t="str">
        <f>IFERROR(VLOOKUP(D95,BTiradores!$B$2:$H$327,5,FALSE),"")</f>
        <v/>
      </c>
      <c r="I95" s="66" t="str">
        <f>IFERROR(VLOOKUP(D95,BTiradores!$B$2:$H$327,6,FALSE),"")</f>
        <v/>
      </c>
      <c r="J95" s="66" t="str">
        <f>IFERROR(VLOOKUP(D95,BTiradores!$B$2:$H$327,7,FALSE),"")</f>
        <v/>
      </c>
      <c r="K95" s="39"/>
      <c r="L95" s="39"/>
      <c r="M95" s="39"/>
      <c r="N95" s="39"/>
      <c r="O95" s="66">
        <f t="shared" si="8"/>
        <v>0</v>
      </c>
      <c r="P95" s="39"/>
      <c r="Q95" s="72">
        <f t="shared" si="9"/>
        <v>0</v>
      </c>
    </row>
    <row r="96" spans="1:17" s="52" customFormat="1" ht="15.95" customHeight="1" x14ac:dyDescent="0.2">
      <c r="A96" s="165"/>
      <c r="B96" s="142">
        <v>93</v>
      </c>
      <c r="C96" s="144"/>
      <c r="D96" s="45"/>
      <c r="E96" s="65" t="str">
        <f>IFERROR(VLOOKUP(D96,BTiradores!$B$2:$H$327,2,FALSE),"")</f>
        <v/>
      </c>
      <c r="F96" s="66" t="str">
        <f>IFERROR(VLOOKUP(D96,BTiradores!$B$2:$H$327,3,FALSE),"")</f>
        <v/>
      </c>
      <c r="G96" s="66" t="str">
        <f>IFERROR(VLOOKUP(D96,BTiradores!$B$2:$H$327,4,FALSE),"")</f>
        <v/>
      </c>
      <c r="H96" s="67" t="str">
        <f>IFERROR(VLOOKUP(D96,BTiradores!$B$2:$H$327,5,FALSE),"")</f>
        <v/>
      </c>
      <c r="I96" s="66" t="str">
        <f>IFERROR(VLOOKUP(D96,BTiradores!$B$2:$H$327,6,FALSE),"")</f>
        <v/>
      </c>
      <c r="J96" s="66" t="str">
        <f>IFERROR(VLOOKUP(D96,BTiradores!$B$2:$H$327,7,FALSE),"")</f>
        <v/>
      </c>
      <c r="K96" s="39"/>
      <c r="L96" s="39"/>
      <c r="M96" s="39"/>
      <c r="N96" s="39"/>
      <c r="O96" s="66">
        <f t="shared" si="8"/>
        <v>0</v>
      </c>
      <c r="P96" s="39"/>
      <c r="Q96" s="72">
        <f t="shared" si="9"/>
        <v>0</v>
      </c>
    </row>
    <row r="97" spans="1:17" s="52" customFormat="1" ht="15.95" customHeight="1" x14ac:dyDescent="0.2">
      <c r="A97" s="165"/>
      <c r="B97" s="142">
        <v>94</v>
      </c>
      <c r="C97" s="144"/>
      <c r="D97" s="45"/>
      <c r="E97" s="65" t="str">
        <f>IFERROR(VLOOKUP(D97,BTiradores!$B$2:$H$327,2,FALSE),"")</f>
        <v/>
      </c>
      <c r="F97" s="66" t="str">
        <f>IFERROR(VLOOKUP(D97,BTiradores!$B$2:$H$327,3,FALSE),"")</f>
        <v/>
      </c>
      <c r="G97" s="66" t="str">
        <f>IFERROR(VLOOKUP(D97,BTiradores!$B$2:$H$327,4,FALSE),"")</f>
        <v/>
      </c>
      <c r="H97" s="67" t="str">
        <f>IFERROR(VLOOKUP(D97,BTiradores!$B$2:$H$327,5,FALSE),"")</f>
        <v/>
      </c>
      <c r="I97" s="66" t="str">
        <f>IFERROR(VLOOKUP(D97,BTiradores!$B$2:$H$327,6,FALSE),"")</f>
        <v/>
      </c>
      <c r="J97" s="66" t="str">
        <f>IFERROR(VLOOKUP(D97,BTiradores!$B$2:$H$327,7,FALSE),"")</f>
        <v/>
      </c>
      <c r="K97" s="39"/>
      <c r="L97" s="39"/>
      <c r="M97" s="39"/>
      <c r="N97" s="39"/>
      <c r="O97" s="66">
        <f t="shared" si="8"/>
        <v>0</v>
      </c>
      <c r="P97" s="39"/>
      <c r="Q97" s="72">
        <f t="shared" si="9"/>
        <v>0</v>
      </c>
    </row>
    <row r="98" spans="1:17" s="52" customFormat="1" ht="15.95" customHeight="1" x14ac:dyDescent="0.2">
      <c r="A98" s="165"/>
      <c r="B98" s="142">
        <v>95</v>
      </c>
      <c r="C98" s="144"/>
      <c r="D98" s="45"/>
      <c r="E98" s="65" t="str">
        <f>IFERROR(VLOOKUP(D98,BTiradores!$B$2:$H$327,2,FALSE),"")</f>
        <v/>
      </c>
      <c r="F98" s="66" t="str">
        <f>IFERROR(VLOOKUP(D98,BTiradores!$B$2:$H$327,3,FALSE),"")</f>
        <v/>
      </c>
      <c r="G98" s="66" t="str">
        <f>IFERROR(VLOOKUP(D98,BTiradores!$B$2:$H$327,4,FALSE),"")</f>
        <v/>
      </c>
      <c r="H98" s="67" t="str">
        <f>IFERROR(VLOOKUP(D98,BTiradores!$B$2:$H$327,5,FALSE),"")</f>
        <v/>
      </c>
      <c r="I98" s="66" t="str">
        <f>IFERROR(VLOOKUP(D98,BTiradores!$B$2:$H$327,6,FALSE),"")</f>
        <v/>
      </c>
      <c r="J98" s="66" t="str">
        <f>IFERROR(VLOOKUP(D98,BTiradores!$B$2:$H$327,7,FALSE),"")</f>
        <v/>
      </c>
      <c r="K98" s="39"/>
      <c r="L98" s="39"/>
      <c r="M98" s="39"/>
      <c r="N98" s="39"/>
      <c r="O98" s="66">
        <f t="shared" si="8"/>
        <v>0</v>
      </c>
      <c r="P98" s="39"/>
      <c r="Q98" s="72">
        <f t="shared" si="9"/>
        <v>0</v>
      </c>
    </row>
    <row r="99" spans="1:17" s="52" customFormat="1" ht="15.95" customHeight="1" x14ac:dyDescent="0.2">
      <c r="A99" s="165"/>
      <c r="B99" s="142">
        <v>96</v>
      </c>
      <c r="C99" s="145"/>
      <c r="D99" s="46"/>
      <c r="E99" s="68" t="str">
        <f>IFERROR(VLOOKUP(D99,BTiradores!$B$2:$H$327,2,FALSE),"")</f>
        <v/>
      </c>
      <c r="F99" s="69" t="str">
        <f>IFERROR(VLOOKUP(D99,BTiradores!$B$2:$H$327,3,FALSE),"")</f>
        <v/>
      </c>
      <c r="G99" s="69" t="str">
        <f>IFERROR(VLOOKUP(D99,BTiradores!$B$2:$H$327,4,FALSE),"")</f>
        <v/>
      </c>
      <c r="H99" s="70" t="str">
        <f>IFERROR(VLOOKUP(D99,BTiradores!$B$2:$H$327,5,FALSE),"")</f>
        <v/>
      </c>
      <c r="I99" s="69" t="str">
        <f>IFERROR(VLOOKUP(D99,BTiradores!$B$2:$H$327,6,FALSE),"")</f>
        <v/>
      </c>
      <c r="J99" s="69" t="str">
        <f>IFERROR(VLOOKUP(D99,BTiradores!$B$2:$H$327,7,FALSE),"")</f>
        <v/>
      </c>
      <c r="K99" s="41"/>
      <c r="L99" s="41"/>
      <c r="M99" s="41"/>
      <c r="N99" s="41"/>
      <c r="O99" s="69">
        <f t="shared" si="8"/>
        <v>0</v>
      </c>
      <c r="P99" s="41"/>
      <c r="Q99" s="73">
        <f t="shared" si="9"/>
        <v>0</v>
      </c>
    </row>
    <row r="100" spans="1:17" s="52" customFormat="1" ht="15.95" customHeight="1" x14ac:dyDescent="0.2">
      <c r="A100" s="164">
        <v>17</v>
      </c>
      <c r="B100" s="141">
        <v>97</v>
      </c>
      <c r="C100" s="143"/>
      <c r="D100" s="47"/>
      <c r="E100" s="62" t="str">
        <f>IFERROR(VLOOKUP(D100,BTiradores!$B$2:$H$327,2,FALSE),"")</f>
        <v/>
      </c>
      <c r="F100" s="63" t="str">
        <f>IFERROR(VLOOKUP(D100,BTiradores!$B$2:$H$327,3,FALSE),"")</f>
        <v/>
      </c>
      <c r="G100" s="63" t="str">
        <f>IFERROR(VLOOKUP(D100,BTiradores!$B$2:$H$327,4,FALSE),"")</f>
        <v/>
      </c>
      <c r="H100" s="64" t="str">
        <f>IFERROR(VLOOKUP(D100,BTiradores!$B$2:$H$327,5,FALSE),"")</f>
        <v/>
      </c>
      <c r="I100" s="63" t="str">
        <f>IFERROR(VLOOKUP(D100,BTiradores!$B$2:$H$327,6,FALSE),"")</f>
        <v/>
      </c>
      <c r="J100" s="63" t="str">
        <f>IFERROR(VLOOKUP(D100,BTiradores!$B$2:$H$327,7,FALSE),"")</f>
        <v/>
      </c>
      <c r="K100" s="40"/>
      <c r="L100" s="40"/>
      <c r="M100" s="40"/>
      <c r="N100" s="40"/>
      <c r="O100" s="63">
        <f t="shared" si="8"/>
        <v>0</v>
      </c>
      <c r="P100" s="40"/>
      <c r="Q100" s="71">
        <f t="shared" si="9"/>
        <v>0</v>
      </c>
    </row>
    <row r="101" spans="1:17" s="52" customFormat="1" ht="15.95" customHeight="1" x14ac:dyDescent="0.2">
      <c r="A101" s="164"/>
      <c r="B101" s="141">
        <v>98</v>
      </c>
      <c r="C101" s="144"/>
      <c r="D101" s="45"/>
      <c r="E101" s="65" t="str">
        <f>IFERROR(VLOOKUP(D101,BTiradores!$B$2:$H$327,2,FALSE),"")</f>
        <v/>
      </c>
      <c r="F101" s="66" t="str">
        <f>IFERROR(VLOOKUP(D101,BTiradores!$B$2:$H$327,3,FALSE),"")</f>
        <v/>
      </c>
      <c r="G101" s="66" t="str">
        <f>IFERROR(VLOOKUP(D101,BTiradores!$B$2:$H$327,4,FALSE),"")</f>
        <v/>
      </c>
      <c r="H101" s="67" t="str">
        <f>IFERROR(VLOOKUP(D101,BTiradores!$B$2:$H$327,5,FALSE),"")</f>
        <v/>
      </c>
      <c r="I101" s="66" t="str">
        <f>IFERROR(VLOOKUP(D101,BTiradores!$B$2:$H$327,6,FALSE),"")</f>
        <v/>
      </c>
      <c r="J101" s="66" t="str">
        <f>IFERROR(VLOOKUP(D101,BTiradores!$B$2:$H$327,7,FALSE),"")</f>
        <v/>
      </c>
      <c r="K101" s="39"/>
      <c r="L101" s="39"/>
      <c r="M101" s="39"/>
      <c r="N101" s="39"/>
      <c r="O101" s="66">
        <f t="shared" si="8"/>
        <v>0</v>
      </c>
      <c r="P101" s="39"/>
      <c r="Q101" s="72">
        <f t="shared" si="9"/>
        <v>0</v>
      </c>
    </row>
    <row r="102" spans="1:17" s="52" customFormat="1" ht="15.95" customHeight="1" x14ac:dyDescent="0.2">
      <c r="A102" s="164"/>
      <c r="B102" s="141">
        <v>99</v>
      </c>
      <c r="C102" s="144"/>
      <c r="D102" s="45"/>
      <c r="E102" s="65" t="str">
        <f>IFERROR(VLOOKUP(D102,BTiradores!$B$2:$H$327,2,FALSE),"")</f>
        <v/>
      </c>
      <c r="F102" s="66" t="str">
        <f>IFERROR(VLOOKUP(D102,BTiradores!$B$2:$H$327,3,FALSE),"")</f>
        <v/>
      </c>
      <c r="G102" s="66" t="str">
        <f>IFERROR(VLOOKUP(D102,BTiradores!$B$2:$H$327,4,FALSE),"")</f>
        <v/>
      </c>
      <c r="H102" s="67" t="str">
        <f>IFERROR(VLOOKUP(D102,BTiradores!$B$2:$H$327,5,FALSE),"")</f>
        <v/>
      </c>
      <c r="I102" s="66" t="str">
        <f>IFERROR(VLOOKUP(D102,BTiradores!$B$2:$H$327,6,FALSE),"")</f>
        <v/>
      </c>
      <c r="J102" s="66" t="str">
        <f>IFERROR(VLOOKUP(D102,BTiradores!$B$2:$H$327,7,FALSE),"")</f>
        <v/>
      </c>
      <c r="K102" s="39"/>
      <c r="L102" s="39"/>
      <c r="M102" s="39"/>
      <c r="N102" s="39"/>
      <c r="O102" s="66">
        <f t="shared" si="8"/>
        <v>0</v>
      </c>
      <c r="P102" s="39"/>
      <c r="Q102" s="72">
        <f t="shared" si="9"/>
        <v>0</v>
      </c>
    </row>
    <row r="103" spans="1:17" s="52" customFormat="1" ht="15.95" customHeight="1" x14ac:dyDescent="0.2">
      <c r="A103" s="164"/>
      <c r="B103" s="141">
        <v>100</v>
      </c>
      <c r="C103" s="144"/>
      <c r="D103" s="45"/>
      <c r="E103" s="65" t="str">
        <f>IFERROR(VLOOKUP(D103,BTiradores!$B$2:$H$327,2,FALSE),"")</f>
        <v/>
      </c>
      <c r="F103" s="66" t="str">
        <f>IFERROR(VLOOKUP(D103,BTiradores!$B$2:$H$327,3,FALSE),"")</f>
        <v/>
      </c>
      <c r="G103" s="66" t="str">
        <f>IFERROR(VLOOKUP(D103,BTiradores!$B$2:$H$327,4,FALSE),"")</f>
        <v/>
      </c>
      <c r="H103" s="67" t="str">
        <f>IFERROR(VLOOKUP(D103,BTiradores!$B$2:$H$327,5,FALSE),"")</f>
        <v/>
      </c>
      <c r="I103" s="66" t="str">
        <f>IFERROR(VLOOKUP(D103,BTiradores!$B$2:$H$327,6,FALSE),"")</f>
        <v/>
      </c>
      <c r="J103" s="66" t="str">
        <f>IFERROR(VLOOKUP(D103,BTiradores!$B$2:$H$327,7,FALSE),"")</f>
        <v/>
      </c>
      <c r="K103" s="39"/>
      <c r="L103" s="39"/>
      <c r="M103" s="39"/>
      <c r="N103" s="39"/>
      <c r="O103" s="66">
        <f t="shared" si="8"/>
        <v>0</v>
      </c>
      <c r="P103" s="39"/>
      <c r="Q103" s="72">
        <f t="shared" si="9"/>
        <v>0</v>
      </c>
    </row>
    <row r="104" spans="1:17" s="52" customFormat="1" ht="15.95" customHeight="1" x14ac:dyDescent="0.2">
      <c r="A104" s="164"/>
      <c r="B104" s="141">
        <v>101</v>
      </c>
      <c r="C104" s="144"/>
      <c r="D104" s="45"/>
      <c r="E104" s="65" t="str">
        <f>IFERROR(VLOOKUP(D104,BTiradores!$B$2:$H$327,2,FALSE),"")</f>
        <v/>
      </c>
      <c r="F104" s="66" t="str">
        <f>IFERROR(VLOOKUP(D104,BTiradores!$B$2:$H$327,3,FALSE),"")</f>
        <v/>
      </c>
      <c r="G104" s="66" t="str">
        <f>IFERROR(VLOOKUP(D104,BTiradores!$B$2:$H$327,4,FALSE),"")</f>
        <v/>
      </c>
      <c r="H104" s="67" t="str">
        <f>IFERROR(VLOOKUP(D104,BTiradores!$B$2:$H$327,5,FALSE),"")</f>
        <v/>
      </c>
      <c r="I104" s="66" t="str">
        <f>IFERROR(VLOOKUP(D104,BTiradores!$B$2:$H$327,6,FALSE),"")</f>
        <v/>
      </c>
      <c r="J104" s="66" t="str">
        <f>IFERROR(VLOOKUP(D104,BTiradores!$B$2:$H$327,7,FALSE),"")</f>
        <v/>
      </c>
      <c r="K104" s="39"/>
      <c r="L104" s="39"/>
      <c r="M104" s="39"/>
      <c r="N104" s="39"/>
      <c r="O104" s="66">
        <f t="shared" si="8"/>
        <v>0</v>
      </c>
      <c r="P104" s="39"/>
      <c r="Q104" s="72">
        <f t="shared" si="9"/>
        <v>0</v>
      </c>
    </row>
    <row r="105" spans="1:17" s="52" customFormat="1" ht="15.95" customHeight="1" x14ac:dyDescent="0.2">
      <c r="A105" s="164"/>
      <c r="B105" s="141">
        <v>102</v>
      </c>
      <c r="C105" s="144"/>
      <c r="D105" s="45"/>
      <c r="E105" s="65" t="str">
        <f>IFERROR(VLOOKUP(D105,BTiradores!$B$2:$H$327,2,FALSE),"")</f>
        <v/>
      </c>
      <c r="F105" s="66" t="str">
        <f>IFERROR(VLOOKUP(D105,BTiradores!$B$2:$H$327,3,FALSE),"")</f>
        <v/>
      </c>
      <c r="G105" s="66" t="str">
        <f>IFERROR(VLOOKUP(D105,BTiradores!$B$2:$H$327,4,FALSE),"")</f>
        <v/>
      </c>
      <c r="H105" s="67" t="str">
        <f>IFERROR(VLOOKUP(D105,BTiradores!$B$2:$H$327,5,FALSE),"")</f>
        <v/>
      </c>
      <c r="I105" s="66" t="str">
        <f>IFERROR(VLOOKUP(D105,BTiradores!$B$2:$H$327,6,FALSE),"")</f>
        <v/>
      </c>
      <c r="J105" s="66" t="str">
        <f>IFERROR(VLOOKUP(D105,BTiradores!$B$2:$H$327,7,FALSE),"")</f>
        <v/>
      </c>
      <c r="K105" s="39"/>
      <c r="L105" s="39"/>
      <c r="M105" s="39"/>
      <c r="N105" s="39"/>
      <c r="O105" s="66">
        <f t="shared" si="8"/>
        <v>0</v>
      </c>
      <c r="P105" s="39"/>
      <c r="Q105" s="72">
        <f t="shared" si="9"/>
        <v>0</v>
      </c>
    </row>
    <row r="106" spans="1:17" s="52" customFormat="1" ht="15.95" customHeight="1" x14ac:dyDescent="0.2">
      <c r="A106" s="165">
        <v>18</v>
      </c>
      <c r="B106" s="142">
        <v>103</v>
      </c>
      <c r="C106" s="143"/>
      <c r="D106" s="47"/>
      <c r="E106" s="62" t="str">
        <f>IFERROR(VLOOKUP(D106,BTiradores!$B$2:$H$327,2,FALSE),"")</f>
        <v/>
      </c>
      <c r="F106" s="63" t="str">
        <f>IFERROR(VLOOKUP(D106,BTiradores!$B$2:$H$327,3,FALSE),"")</f>
        <v/>
      </c>
      <c r="G106" s="63" t="str">
        <f>IFERROR(VLOOKUP(D106,BTiradores!$B$2:$H$327,4,FALSE),"")</f>
        <v/>
      </c>
      <c r="H106" s="64" t="str">
        <f>IFERROR(VLOOKUP(D106,BTiradores!$B$2:$H$327,5,FALSE),"")</f>
        <v/>
      </c>
      <c r="I106" s="63" t="str">
        <f>IFERROR(VLOOKUP(D106,BTiradores!$B$2:$H$327,6,FALSE),"")</f>
        <v/>
      </c>
      <c r="J106" s="63" t="str">
        <f>IFERROR(VLOOKUP(D106,BTiradores!$B$2:$H$327,7,FALSE),"")</f>
        <v/>
      </c>
      <c r="K106" s="40"/>
      <c r="L106" s="40"/>
      <c r="M106" s="40"/>
      <c r="N106" s="40"/>
      <c r="O106" s="63">
        <f t="shared" si="8"/>
        <v>0</v>
      </c>
      <c r="P106" s="40"/>
      <c r="Q106" s="71">
        <f t="shared" si="9"/>
        <v>0</v>
      </c>
    </row>
    <row r="107" spans="1:17" s="52" customFormat="1" ht="15.95" customHeight="1" x14ac:dyDescent="0.2">
      <c r="A107" s="165"/>
      <c r="B107" s="142">
        <v>104</v>
      </c>
      <c r="C107" s="144"/>
      <c r="D107" s="45"/>
      <c r="E107" s="65" t="str">
        <f>IFERROR(VLOOKUP(D107,BTiradores!$B$2:$H$327,2,FALSE),"")</f>
        <v/>
      </c>
      <c r="F107" s="66" t="str">
        <f>IFERROR(VLOOKUP(D107,BTiradores!$B$2:$H$327,3,FALSE),"")</f>
        <v/>
      </c>
      <c r="G107" s="66" t="str">
        <f>IFERROR(VLOOKUP(D107,BTiradores!$B$2:$H$327,4,FALSE),"")</f>
        <v/>
      </c>
      <c r="H107" s="67" t="str">
        <f>IFERROR(VLOOKUP(D107,BTiradores!$B$2:$H$327,5,FALSE),"")</f>
        <v/>
      </c>
      <c r="I107" s="66" t="str">
        <f>IFERROR(VLOOKUP(D107,BTiradores!$B$2:$H$327,6,FALSE),"")</f>
        <v/>
      </c>
      <c r="J107" s="66" t="str">
        <f>IFERROR(VLOOKUP(D107,BTiradores!$B$2:$H$327,7,FALSE),"")</f>
        <v/>
      </c>
      <c r="K107" s="39"/>
      <c r="L107" s="39"/>
      <c r="M107" s="39"/>
      <c r="N107" s="39"/>
      <c r="O107" s="66">
        <f t="shared" si="8"/>
        <v>0</v>
      </c>
      <c r="P107" s="39"/>
      <c r="Q107" s="72">
        <f t="shared" si="9"/>
        <v>0</v>
      </c>
    </row>
    <row r="108" spans="1:17" s="52" customFormat="1" ht="15.95" customHeight="1" x14ac:dyDescent="0.2">
      <c r="A108" s="165"/>
      <c r="B108" s="142">
        <v>105</v>
      </c>
      <c r="C108" s="144"/>
      <c r="D108" s="45"/>
      <c r="E108" s="65" t="str">
        <f>IFERROR(VLOOKUP(D108,BTiradores!$B$2:$H$327,2,FALSE),"")</f>
        <v/>
      </c>
      <c r="F108" s="66" t="str">
        <f>IFERROR(VLOOKUP(D108,BTiradores!$B$2:$H$327,3,FALSE),"")</f>
        <v/>
      </c>
      <c r="G108" s="66" t="str">
        <f>IFERROR(VLOOKUP(D108,BTiradores!$B$2:$H$327,4,FALSE),"")</f>
        <v/>
      </c>
      <c r="H108" s="67" t="str">
        <f>IFERROR(VLOOKUP(D108,BTiradores!$B$2:$H$327,5,FALSE),"")</f>
        <v/>
      </c>
      <c r="I108" s="66" t="str">
        <f>IFERROR(VLOOKUP(D108,BTiradores!$B$2:$H$327,6,FALSE),"")</f>
        <v/>
      </c>
      <c r="J108" s="66" t="str">
        <f>IFERROR(VLOOKUP(D108,BTiradores!$B$2:$H$327,7,FALSE),"")</f>
        <v/>
      </c>
      <c r="K108" s="39"/>
      <c r="L108" s="39"/>
      <c r="M108" s="39"/>
      <c r="N108" s="39"/>
      <c r="O108" s="66">
        <f t="shared" si="8"/>
        <v>0</v>
      </c>
      <c r="P108" s="39"/>
      <c r="Q108" s="72">
        <f t="shared" si="9"/>
        <v>0</v>
      </c>
    </row>
    <row r="109" spans="1:17" s="52" customFormat="1" ht="15.95" customHeight="1" x14ac:dyDescent="0.2">
      <c r="A109" s="165"/>
      <c r="B109" s="142">
        <v>106</v>
      </c>
      <c r="C109" s="144"/>
      <c r="D109" s="45"/>
      <c r="E109" s="65" t="str">
        <f>IFERROR(VLOOKUP(D109,BTiradores!$B$2:$H$327,2,FALSE),"")</f>
        <v/>
      </c>
      <c r="F109" s="66" t="str">
        <f>IFERROR(VLOOKUP(D109,BTiradores!$B$2:$H$327,3,FALSE),"")</f>
        <v/>
      </c>
      <c r="G109" s="66" t="str">
        <f>IFERROR(VLOOKUP(D109,BTiradores!$B$2:$H$327,4,FALSE),"")</f>
        <v/>
      </c>
      <c r="H109" s="67" t="str">
        <f>IFERROR(VLOOKUP(D109,BTiradores!$B$2:$H$327,5,FALSE),"")</f>
        <v/>
      </c>
      <c r="I109" s="66" t="str">
        <f>IFERROR(VLOOKUP(D109,BTiradores!$B$2:$H$327,6,FALSE),"")</f>
        <v/>
      </c>
      <c r="J109" s="66" t="str">
        <f>IFERROR(VLOOKUP(D109,BTiradores!$B$2:$H$327,7,FALSE),"")</f>
        <v/>
      </c>
      <c r="K109" s="39"/>
      <c r="L109" s="39"/>
      <c r="M109" s="39"/>
      <c r="N109" s="39"/>
      <c r="O109" s="66">
        <f t="shared" si="8"/>
        <v>0</v>
      </c>
      <c r="P109" s="39"/>
      <c r="Q109" s="72">
        <f t="shared" si="9"/>
        <v>0</v>
      </c>
    </row>
    <row r="110" spans="1:17" s="52" customFormat="1" ht="15.95" customHeight="1" x14ac:dyDescent="0.2">
      <c r="A110" s="165"/>
      <c r="B110" s="142">
        <v>107</v>
      </c>
      <c r="C110" s="144"/>
      <c r="D110" s="45"/>
      <c r="E110" s="65" t="str">
        <f>IFERROR(VLOOKUP(D110,BTiradores!$B$2:$H$327,2,FALSE),"")</f>
        <v/>
      </c>
      <c r="F110" s="66" t="str">
        <f>IFERROR(VLOOKUP(D110,BTiradores!$B$2:$H$327,3,FALSE),"")</f>
        <v/>
      </c>
      <c r="G110" s="66" t="str">
        <f>IFERROR(VLOOKUP(D110,BTiradores!$B$2:$H$327,4,FALSE),"")</f>
        <v/>
      </c>
      <c r="H110" s="67" t="str">
        <f>IFERROR(VLOOKUP(D110,BTiradores!$B$2:$H$327,5,FALSE),"")</f>
        <v/>
      </c>
      <c r="I110" s="66" t="str">
        <f>IFERROR(VLOOKUP(D110,BTiradores!$B$2:$H$327,6,FALSE),"")</f>
        <v/>
      </c>
      <c r="J110" s="66" t="str">
        <f>IFERROR(VLOOKUP(D110,BTiradores!$B$2:$H$327,7,FALSE),"")</f>
        <v/>
      </c>
      <c r="K110" s="39"/>
      <c r="L110" s="39"/>
      <c r="M110" s="39"/>
      <c r="N110" s="39"/>
      <c r="O110" s="66">
        <f t="shared" si="8"/>
        <v>0</v>
      </c>
      <c r="P110" s="39"/>
      <c r="Q110" s="72">
        <f t="shared" si="9"/>
        <v>0</v>
      </c>
    </row>
    <row r="111" spans="1:17" s="52" customFormat="1" ht="15.95" customHeight="1" x14ac:dyDescent="0.2">
      <c r="A111" s="165"/>
      <c r="B111" s="142">
        <v>108</v>
      </c>
      <c r="C111" s="145"/>
      <c r="D111" s="46"/>
      <c r="E111" s="68" t="str">
        <f>IFERROR(VLOOKUP(D111,BTiradores!$B$2:$H$327,2,FALSE),"")</f>
        <v/>
      </c>
      <c r="F111" s="69" t="str">
        <f>IFERROR(VLOOKUP(D111,BTiradores!$B$2:$H$327,3,FALSE),"")</f>
        <v/>
      </c>
      <c r="G111" s="69" t="str">
        <f>IFERROR(VLOOKUP(D111,BTiradores!$B$2:$H$327,4,FALSE),"")</f>
        <v/>
      </c>
      <c r="H111" s="70" t="str">
        <f>IFERROR(VLOOKUP(D111,BTiradores!$B$2:$H$327,5,FALSE),"")</f>
        <v/>
      </c>
      <c r="I111" s="69" t="str">
        <f>IFERROR(VLOOKUP(D111,BTiradores!$B$2:$H$327,6,FALSE),"")</f>
        <v/>
      </c>
      <c r="J111" s="69" t="str">
        <f>IFERROR(VLOOKUP(D111,BTiradores!$B$2:$H$327,7,FALSE),"")</f>
        <v/>
      </c>
      <c r="K111" s="41"/>
      <c r="L111" s="41"/>
      <c r="M111" s="41"/>
      <c r="N111" s="41"/>
      <c r="O111" s="69">
        <f t="shared" si="8"/>
        <v>0</v>
      </c>
      <c r="P111" s="41"/>
      <c r="Q111" s="73">
        <f t="shared" si="9"/>
        <v>0</v>
      </c>
    </row>
    <row r="112" spans="1:17" s="52" customFormat="1" ht="15.95" customHeight="1" x14ac:dyDescent="0.2">
      <c r="A112" s="164">
        <v>19</v>
      </c>
      <c r="B112" s="141">
        <v>109</v>
      </c>
      <c r="C112" s="144"/>
      <c r="D112" s="45"/>
      <c r="E112" s="65" t="str">
        <f>IFERROR(VLOOKUP(D112,BTiradores!$B$2:$H$327,2,FALSE),"")</f>
        <v/>
      </c>
      <c r="F112" s="66" t="str">
        <f>IFERROR(VLOOKUP(D112,BTiradores!$B$2:$H$327,3,FALSE),"")</f>
        <v/>
      </c>
      <c r="G112" s="66" t="str">
        <f>IFERROR(VLOOKUP(D112,BTiradores!$B$2:$H$327,4,FALSE),"")</f>
        <v/>
      </c>
      <c r="H112" s="67" t="str">
        <f>IFERROR(VLOOKUP(D112,BTiradores!$B$2:$H$327,5,FALSE),"")</f>
        <v/>
      </c>
      <c r="I112" s="66" t="str">
        <f>IFERROR(VLOOKUP(D112,BTiradores!$B$2:$H$327,6,FALSE),"")</f>
        <v/>
      </c>
      <c r="J112" s="66" t="str">
        <f>IFERROR(VLOOKUP(D112,BTiradores!$B$2:$H$327,7,FALSE),"")</f>
        <v/>
      </c>
      <c r="K112" s="39"/>
      <c r="L112" s="39"/>
      <c r="M112" s="39"/>
      <c r="N112" s="39"/>
      <c r="O112" s="66">
        <f t="shared" si="8"/>
        <v>0</v>
      </c>
      <c r="P112" s="39"/>
      <c r="Q112" s="72">
        <f t="shared" si="9"/>
        <v>0</v>
      </c>
    </row>
    <row r="113" spans="1:17" s="52" customFormat="1" ht="15.95" customHeight="1" x14ac:dyDescent="0.2">
      <c r="A113" s="164"/>
      <c r="B113" s="141">
        <v>110</v>
      </c>
      <c r="C113" s="144"/>
      <c r="D113" s="45"/>
      <c r="E113" s="65" t="str">
        <f>IFERROR(VLOOKUP(D113,BTiradores!$B$2:$H$327,2,FALSE),"")</f>
        <v/>
      </c>
      <c r="F113" s="66" t="str">
        <f>IFERROR(VLOOKUP(D113,BTiradores!$B$2:$H$327,3,FALSE),"")</f>
        <v/>
      </c>
      <c r="G113" s="66" t="str">
        <f>IFERROR(VLOOKUP(D113,BTiradores!$B$2:$H$327,4,FALSE),"")</f>
        <v/>
      </c>
      <c r="H113" s="67" t="str">
        <f>IFERROR(VLOOKUP(D113,BTiradores!$B$2:$H$327,5,FALSE),"")</f>
        <v/>
      </c>
      <c r="I113" s="66" t="str">
        <f>IFERROR(VLOOKUP(D113,BTiradores!$B$2:$H$327,6,FALSE),"")</f>
        <v/>
      </c>
      <c r="J113" s="66" t="str">
        <f>IFERROR(VLOOKUP(D113,BTiradores!$B$2:$H$327,7,FALSE),"")</f>
        <v/>
      </c>
      <c r="K113" s="39"/>
      <c r="L113" s="39"/>
      <c r="M113" s="39"/>
      <c r="N113" s="39"/>
      <c r="O113" s="66">
        <f t="shared" si="8"/>
        <v>0</v>
      </c>
      <c r="P113" s="39"/>
      <c r="Q113" s="72">
        <f t="shared" si="9"/>
        <v>0</v>
      </c>
    </row>
    <row r="114" spans="1:17" s="52" customFormat="1" ht="15.95" customHeight="1" x14ac:dyDescent="0.2">
      <c r="A114" s="164"/>
      <c r="B114" s="141">
        <v>111</v>
      </c>
      <c r="C114" s="144"/>
      <c r="D114" s="45"/>
      <c r="E114" s="65" t="str">
        <f>IFERROR(VLOOKUP(D114,BTiradores!$B$2:$H$327,2,FALSE),"")</f>
        <v/>
      </c>
      <c r="F114" s="66" t="str">
        <f>IFERROR(VLOOKUP(D114,BTiradores!$B$2:$H$327,3,FALSE),"")</f>
        <v/>
      </c>
      <c r="G114" s="66" t="str">
        <f>IFERROR(VLOOKUP(D114,BTiradores!$B$2:$H$327,4,FALSE),"")</f>
        <v/>
      </c>
      <c r="H114" s="67" t="str">
        <f>IFERROR(VLOOKUP(D114,BTiradores!$B$2:$H$327,5,FALSE),"")</f>
        <v/>
      </c>
      <c r="I114" s="66" t="str">
        <f>IFERROR(VLOOKUP(D114,BTiradores!$B$2:$H$327,6,FALSE),"")</f>
        <v/>
      </c>
      <c r="J114" s="66" t="str">
        <f>IFERROR(VLOOKUP(D114,BTiradores!$B$2:$H$327,7,FALSE),"")</f>
        <v/>
      </c>
      <c r="K114" s="39"/>
      <c r="L114" s="39"/>
      <c r="M114" s="39"/>
      <c r="N114" s="39"/>
      <c r="O114" s="66">
        <f t="shared" si="8"/>
        <v>0</v>
      </c>
      <c r="P114" s="39"/>
      <c r="Q114" s="72">
        <f t="shared" si="9"/>
        <v>0</v>
      </c>
    </row>
    <row r="115" spans="1:17" s="52" customFormat="1" ht="15.95" customHeight="1" x14ac:dyDescent="0.2">
      <c r="A115" s="164"/>
      <c r="B115" s="141">
        <v>112</v>
      </c>
      <c r="C115" s="144"/>
      <c r="D115" s="45"/>
      <c r="E115" s="65" t="str">
        <f>IFERROR(VLOOKUP(D115,BTiradores!$B$2:$H$327,2,FALSE),"")</f>
        <v/>
      </c>
      <c r="F115" s="66" t="str">
        <f>IFERROR(VLOOKUP(D115,BTiradores!$B$2:$H$327,3,FALSE),"")</f>
        <v/>
      </c>
      <c r="G115" s="66" t="str">
        <f>IFERROR(VLOOKUP(D115,BTiradores!$B$2:$H$327,4,FALSE),"")</f>
        <v/>
      </c>
      <c r="H115" s="67" t="str">
        <f>IFERROR(VLOOKUP(D115,BTiradores!$B$2:$H$327,5,FALSE),"")</f>
        <v/>
      </c>
      <c r="I115" s="66" t="str">
        <f>IFERROR(VLOOKUP(D115,BTiradores!$B$2:$H$327,6,FALSE),"")</f>
        <v/>
      </c>
      <c r="J115" s="66" t="str">
        <f>IFERROR(VLOOKUP(D115,BTiradores!$B$2:$H$327,7,FALSE),"")</f>
        <v/>
      </c>
      <c r="K115" s="39"/>
      <c r="L115" s="39"/>
      <c r="M115" s="39"/>
      <c r="N115" s="39"/>
      <c r="O115" s="66">
        <f t="shared" ref="O115:O144" si="10">SUM(K115:N115)</f>
        <v>0</v>
      </c>
      <c r="P115" s="39"/>
      <c r="Q115" s="72">
        <f t="shared" ref="Q115:Q144" si="11">SUM(O115:P115)</f>
        <v>0</v>
      </c>
    </row>
    <row r="116" spans="1:17" s="52" customFormat="1" ht="15.95" customHeight="1" x14ac:dyDescent="0.2">
      <c r="A116" s="164"/>
      <c r="B116" s="141">
        <v>113</v>
      </c>
      <c r="C116" s="144"/>
      <c r="D116" s="45"/>
      <c r="E116" s="65" t="str">
        <f>IFERROR(VLOOKUP(D116,BTiradores!$B$2:$H$327,2,FALSE),"")</f>
        <v/>
      </c>
      <c r="F116" s="66" t="str">
        <f>IFERROR(VLOOKUP(D116,BTiradores!$B$2:$H$327,3,FALSE),"")</f>
        <v/>
      </c>
      <c r="G116" s="66" t="str">
        <f>IFERROR(VLOOKUP(D116,BTiradores!$B$2:$H$327,4,FALSE),"")</f>
        <v/>
      </c>
      <c r="H116" s="67" t="str">
        <f>IFERROR(VLOOKUP(D116,BTiradores!$B$2:$H$327,5,FALSE),"")</f>
        <v/>
      </c>
      <c r="I116" s="66" t="str">
        <f>IFERROR(VLOOKUP(D116,BTiradores!$B$2:$H$327,6,FALSE),"")</f>
        <v/>
      </c>
      <c r="J116" s="66" t="str">
        <f>IFERROR(VLOOKUP(D116,BTiradores!$B$2:$H$327,7,FALSE),"")</f>
        <v/>
      </c>
      <c r="K116" s="39"/>
      <c r="L116" s="39"/>
      <c r="M116" s="39"/>
      <c r="N116" s="39"/>
      <c r="O116" s="66">
        <f t="shared" si="10"/>
        <v>0</v>
      </c>
      <c r="P116" s="39"/>
      <c r="Q116" s="72">
        <f t="shared" si="11"/>
        <v>0</v>
      </c>
    </row>
    <row r="117" spans="1:17" s="52" customFormat="1" ht="15.95" customHeight="1" x14ac:dyDescent="0.2">
      <c r="A117" s="164"/>
      <c r="B117" s="141">
        <v>114</v>
      </c>
      <c r="C117" s="145"/>
      <c r="D117" s="46"/>
      <c r="E117" s="68" t="str">
        <f>IFERROR(VLOOKUP(D117,BTiradores!$B$2:$H$327,2,FALSE),"")</f>
        <v/>
      </c>
      <c r="F117" s="69" t="str">
        <f>IFERROR(VLOOKUP(D117,BTiradores!$B$2:$H$327,3,FALSE),"")</f>
        <v/>
      </c>
      <c r="G117" s="69" t="str">
        <f>IFERROR(VLOOKUP(D117,BTiradores!$B$2:$H$327,4,FALSE),"")</f>
        <v/>
      </c>
      <c r="H117" s="70" t="str">
        <f>IFERROR(VLOOKUP(D117,BTiradores!$B$2:$H$327,5,FALSE),"")</f>
        <v/>
      </c>
      <c r="I117" s="69" t="str">
        <f>IFERROR(VLOOKUP(D117,BTiradores!$B$2:$H$327,6,FALSE),"")</f>
        <v/>
      </c>
      <c r="J117" s="69" t="str">
        <f>IFERROR(VLOOKUP(D117,BTiradores!$B$2:$H$327,7,FALSE),"")</f>
        <v/>
      </c>
      <c r="K117" s="41"/>
      <c r="L117" s="41"/>
      <c r="M117" s="41"/>
      <c r="N117" s="41"/>
      <c r="O117" s="69">
        <f t="shared" si="10"/>
        <v>0</v>
      </c>
      <c r="P117" s="41"/>
      <c r="Q117" s="73">
        <f t="shared" si="11"/>
        <v>0</v>
      </c>
    </row>
    <row r="118" spans="1:17" s="52" customFormat="1" ht="15.95" customHeight="1" x14ac:dyDescent="0.2">
      <c r="A118" s="165">
        <v>20</v>
      </c>
      <c r="B118" s="142">
        <v>115</v>
      </c>
      <c r="C118" s="143"/>
      <c r="D118" s="47"/>
      <c r="E118" s="62" t="str">
        <f>IFERROR(VLOOKUP(D118,BTiradores!$B$2:$H$327,2,FALSE),"")</f>
        <v/>
      </c>
      <c r="F118" s="63" t="str">
        <f>IFERROR(VLOOKUP(D118,BTiradores!$B$2:$H$327,3,FALSE),"")</f>
        <v/>
      </c>
      <c r="G118" s="63" t="str">
        <f>IFERROR(VLOOKUP(D118,BTiradores!$B$2:$H$327,4,FALSE),"")</f>
        <v/>
      </c>
      <c r="H118" s="64" t="str">
        <f>IFERROR(VLOOKUP(D118,BTiradores!$B$2:$H$327,5,FALSE),"")</f>
        <v/>
      </c>
      <c r="I118" s="63" t="str">
        <f>IFERROR(VLOOKUP(D118,BTiradores!$B$2:$H$327,6,FALSE),"")</f>
        <v/>
      </c>
      <c r="J118" s="63" t="str">
        <f>IFERROR(VLOOKUP(D118,BTiradores!$B$2:$H$327,7,FALSE),"")</f>
        <v/>
      </c>
      <c r="K118" s="40"/>
      <c r="L118" s="40"/>
      <c r="M118" s="40"/>
      <c r="N118" s="40"/>
      <c r="O118" s="63">
        <f t="shared" si="10"/>
        <v>0</v>
      </c>
      <c r="P118" s="40"/>
      <c r="Q118" s="71">
        <f t="shared" si="11"/>
        <v>0</v>
      </c>
    </row>
    <row r="119" spans="1:17" s="52" customFormat="1" ht="15.95" customHeight="1" x14ac:dyDescent="0.2">
      <c r="A119" s="165"/>
      <c r="B119" s="142">
        <v>116</v>
      </c>
      <c r="C119" s="144"/>
      <c r="D119" s="45"/>
      <c r="E119" s="65" t="str">
        <f>IFERROR(VLOOKUP(D119,BTiradores!$B$2:$H$327,2,FALSE),"")</f>
        <v/>
      </c>
      <c r="F119" s="66" t="str">
        <f>IFERROR(VLOOKUP(D119,BTiradores!$B$2:$H$327,3,FALSE),"")</f>
        <v/>
      </c>
      <c r="G119" s="66" t="str">
        <f>IFERROR(VLOOKUP(D119,BTiradores!$B$2:$H$327,4,FALSE),"")</f>
        <v/>
      </c>
      <c r="H119" s="67" t="str">
        <f>IFERROR(VLOOKUP(D119,BTiradores!$B$2:$H$327,5,FALSE),"")</f>
        <v/>
      </c>
      <c r="I119" s="66" t="str">
        <f>IFERROR(VLOOKUP(D119,BTiradores!$B$2:$H$327,6,FALSE),"")</f>
        <v/>
      </c>
      <c r="J119" s="66" t="str">
        <f>IFERROR(VLOOKUP(D119,BTiradores!$B$2:$H$327,7,FALSE),"")</f>
        <v/>
      </c>
      <c r="K119" s="39"/>
      <c r="L119" s="39"/>
      <c r="M119" s="39"/>
      <c r="N119" s="39"/>
      <c r="O119" s="66">
        <f t="shared" si="10"/>
        <v>0</v>
      </c>
      <c r="P119" s="39"/>
      <c r="Q119" s="72">
        <f t="shared" si="11"/>
        <v>0</v>
      </c>
    </row>
    <row r="120" spans="1:17" s="52" customFormat="1" ht="15.95" customHeight="1" x14ac:dyDescent="0.2">
      <c r="A120" s="165"/>
      <c r="B120" s="142">
        <v>117</v>
      </c>
      <c r="C120" s="144"/>
      <c r="D120" s="45"/>
      <c r="E120" s="65" t="str">
        <f>IFERROR(VLOOKUP(D120,BTiradores!$B$2:$H$327,2,FALSE),"")</f>
        <v/>
      </c>
      <c r="F120" s="66" t="str">
        <f>IFERROR(VLOOKUP(D120,BTiradores!$B$2:$H$327,3,FALSE),"")</f>
        <v/>
      </c>
      <c r="G120" s="66" t="str">
        <f>IFERROR(VLOOKUP(D120,BTiradores!$B$2:$H$327,4,FALSE),"")</f>
        <v/>
      </c>
      <c r="H120" s="67" t="str">
        <f>IFERROR(VLOOKUP(D120,BTiradores!$B$2:$H$327,5,FALSE),"")</f>
        <v/>
      </c>
      <c r="I120" s="66" t="str">
        <f>IFERROR(VLOOKUP(D120,BTiradores!$B$2:$H$327,6,FALSE),"")</f>
        <v/>
      </c>
      <c r="J120" s="66" t="str">
        <f>IFERROR(VLOOKUP(D120,BTiradores!$B$2:$H$327,7,FALSE),"")</f>
        <v/>
      </c>
      <c r="K120" s="39"/>
      <c r="L120" s="39"/>
      <c r="M120" s="39"/>
      <c r="N120" s="39"/>
      <c r="O120" s="66">
        <f t="shared" si="10"/>
        <v>0</v>
      </c>
      <c r="P120" s="39"/>
      <c r="Q120" s="72">
        <f t="shared" si="11"/>
        <v>0</v>
      </c>
    </row>
    <row r="121" spans="1:17" s="52" customFormat="1" ht="15.95" customHeight="1" x14ac:dyDescent="0.2">
      <c r="A121" s="165"/>
      <c r="B121" s="142">
        <v>118</v>
      </c>
      <c r="C121" s="144"/>
      <c r="D121" s="45"/>
      <c r="E121" s="65" t="str">
        <f>IFERROR(VLOOKUP(D121,BTiradores!$B$2:$H$327,2,FALSE),"")</f>
        <v/>
      </c>
      <c r="F121" s="66" t="str">
        <f>IFERROR(VLOOKUP(D121,BTiradores!$B$2:$H$327,3,FALSE),"")</f>
        <v/>
      </c>
      <c r="G121" s="66" t="str">
        <f>IFERROR(VLOOKUP(D121,BTiradores!$B$2:$H$327,4,FALSE),"")</f>
        <v/>
      </c>
      <c r="H121" s="67" t="str">
        <f>IFERROR(VLOOKUP(D121,BTiradores!$B$2:$H$327,5,FALSE),"")</f>
        <v/>
      </c>
      <c r="I121" s="66" t="str">
        <f>IFERROR(VLOOKUP(D121,BTiradores!$B$2:$H$327,6,FALSE),"")</f>
        <v/>
      </c>
      <c r="J121" s="66" t="str">
        <f>IFERROR(VLOOKUP(D121,BTiradores!$B$2:$H$327,7,FALSE),"")</f>
        <v/>
      </c>
      <c r="K121" s="39"/>
      <c r="L121" s="39"/>
      <c r="M121" s="39"/>
      <c r="N121" s="39"/>
      <c r="O121" s="66">
        <f t="shared" si="10"/>
        <v>0</v>
      </c>
      <c r="P121" s="39"/>
      <c r="Q121" s="72">
        <f t="shared" si="11"/>
        <v>0</v>
      </c>
    </row>
    <row r="122" spans="1:17" s="52" customFormat="1" ht="15.95" customHeight="1" x14ac:dyDescent="0.2">
      <c r="A122" s="165"/>
      <c r="B122" s="142">
        <v>119</v>
      </c>
      <c r="C122" s="144"/>
      <c r="D122" s="45"/>
      <c r="E122" s="65" t="str">
        <f>IFERROR(VLOOKUP(D122,BTiradores!$B$2:$H$327,2,FALSE),"")</f>
        <v/>
      </c>
      <c r="F122" s="66" t="str">
        <f>IFERROR(VLOOKUP(D122,BTiradores!$B$2:$H$327,3,FALSE),"")</f>
        <v/>
      </c>
      <c r="G122" s="66" t="str">
        <f>IFERROR(VLOOKUP(D122,BTiradores!$B$2:$H$327,4,FALSE),"")</f>
        <v/>
      </c>
      <c r="H122" s="67" t="str">
        <f>IFERROR(VLOOKUP(D122,BTiradores!$B$2:$H$327,5,FALSE),"")</f>
        <v/>
      </c>
      <c r="I122" s="66" t="str">
        <f>IFERROR(VLOOKUP(D122,BTiradores!$B$2:$H$327,6,FALSE),"")</f>
        <v/>
      </c>
      <c r="J122" s="66" t="str">
        <f>IFERROR(VLOOKUP(D122,BTiradores!$B$2:$H$327,7,FALSE),"")</f>
        <v/>
      </c>
      <c r="K122" s="39"/>
      <c r="L122" s="39"/>
      <c r="M122" s="39"/>
      <c r="N122" s="39"/>
      <c r="O122" s="66">
        <f t="shared" si="10"/>
        <v>0</v>
      </c>
      <c r="P122" s="39"/>
      <c r="Q122" s="72">
        <f t="shared" si="11"/>
        <v>0</v>
      </c>
    </row>
    <row r="123" spans="1:17" s="52" customFormat="1" ht="15.95" customHeight="1" x14ac:dyDescent="0.2">
      <c r="A123" s="165"/>
      <c r="B123" s="142">
        <v>120</v>
      </c>
      <c r="C123" s="145"/>
      <c r="D123" s="46"/>
      <c r="E123" s="68" t="str">
        <f>IFERROR(VLOOKUP(D123,BTiradores!$B$2:$H$327,2,FALSE),"")</f>
        <v/>
      </c>
      <c r="F123" s="69" t="str">
        <f>IFERROR(VLOOKUP(D123,BTiradores!$B$2:$H$327,3,FALSE),"")</f>
        <v/>
      </c>
      <c r="G123" s="69" t="str">
        <f>IFERROR(VLOOKUP(D123,BTiradores!$B$2:$H$327,4,FALSE),"")</f>
        <v/>
      </c>
      <c r="H123" s="70" t="str">
        <f>IFERROR(VLOOKUP(D123,BTiradores!$B$2:$H$327,5,FALSE),"")</f>
        <v/>
      </c>
      <c r="I123" s="69" t="str">
        <f>IFERROR(VLOOKUP(D123,BTiradores!$B$2:$H$327,6,FALSE),"")</f>
        <v/>
      </c>
      <c r="J123" s="69" t="str">
        <f>IFERROR(VLOOKUP(D123,BTiradores!$B$2:$H$327,7,FALSE),"")</f>
        <v/>
      </c>
      <c r="K123" s="41"/>
      <c r="L123" s="41"/>
      <c r="M123" s="41"/>
      <c r="N123" s="41"/>
      <c r="O123" s="69">
        <f t="shared" si="10"/>
        <v>0</v>
      </c>
      <c r="P123" s="41"/>
      <c r="Q123" s="73">
        <f t="shared" si="11"/>
        <v>0</v>
      </c>
    </row>
    <row r="124" spans="1:17" s="52" customFormat="1" ht="15.95" customHeight="1" x14ac:dyDescent="0.2">
      <c r="A124" s="164">
        <v>21</v>
      </c>
      <c r="B124" s="141">
        <v>121</v>
      </c>
      <c r="C124" s="143"/>
      <c r="D124" s="47"/>
      <c r="E124" s="62" t="str">
        <f>IFERROR(VLOOKUP(D124,BTiradores!$B$2:$H$327,2,FALSE),"")</f>
        <v/>
      </c>
      <c r="F124" s="63" t="str">
        <f>IFERROR(VLOOKUP(D124,BTiradores!$B$2:$H$327,3,FALSE),"")</f>
        <v/>
      </c>
      <c r="G124" s="63" t="str">
        <f>IFERROR(VLOOKUP(D124,BTiradores!$B$2:$H$327,4,FALSE),"")</f>
        <v/>
      </c>
      <c r="H124" s="64" t="str">
        <f>IFERROR(VLOOKUP(D124,BTiradores!$B$2:$H$327,5,FALSE),"")</f>
        <v/>
      </c>
      <c r="I124" s="63" t="str">
        <f>IFERROR(VLOOKUP(D124,BTiradores!$B$2:$H$327,6,FALSE),"")</f>
        <v/>
      </c>
      <c r="J124" s="63" t="str">
        <f>IFERROR(VLOOKUP(D124,BTiradores!$B$2:$H$327,7,FALSE),"")</f>
        <v/>
      </c>
      <c r="K124" s="40"/>
      <c r="L124" s="40"/>
      <c r="M124" s="40"/>
      <c r="N124" s="40"/>
      <c r="O124" s="63">
        <f t="shared" si="10"/>
        <v>0</v>
      </c>
      <c r="P124" s="40"/>
      <c r="Q124" s="71">
        <f t="shared" si="11"/>
        <v>0</v>
      </c>
    </row>
    <row r="125" spans="1:17" s="52" customFormat="1" ht="15.95" customHeight="1" x14ac:dyDescent="0.2">
      <c r="A125" s="164"/>
      <c r="B125" s="141">
        <v>122</v>
      </c>
      <c r="C125" s="144"/>
      <c r="D125" s="45"/>
      <c r="E125" s="65" t="str">
        <f>IFERROR(VLOOKUP(D125,BTiradores!$B$2:$H$327,2,FALSE),"")</f>
        <v/>
      </c>
      <c r="F125" s="66" t="str">
        <f>IFERROR(VLOOKUP(D125,BTiradores!$B$2:$H$327,3,FALSE),"")</f>
        <v/>
      </c>
      <c r="G125" s="66" t="str">
        <f>IFERROR(VLOOKUP(D125,BTiradores!$B$2:$H$327,4,FALSE),"")</f>
        <v/>
      </c>
      <c r="H125" s="67" t="str">
        <f>IFERROR(VLOOKUP(D125,BTiradores!$B$2:$H$327,5,FALSE),"")</f>
        <v/>
      </c>
      <c r="I125" s="66" t="str">
        <f>IFERROR(VLOOKUP(D125,BTiradores!$B$2:$H$327,6,FALSE),"")</f>
        <v/>
      </c>
      <c r="J125" s="66" t="str">
        <f>IFERROR(VLOOKUP(D125,BTiradores!$B$2:$H$327,7,FALSE),"")</f>
        <v/>
      </c>
      <c r="K125" s="39"/>
      <c r="L125" s="39"/>
      <c r="M125" s="39"/>
      <c r="N125" s="39"/>
      <c r="O125" s="66">
        <f t="shared" si="10"/>
        <v>0</v>
      </c>
      <c r="P125" s="39"/>
      <c r="Q125" s="72">
        <f t="shared" si="11"/>
        <v>0</v>
      </c>
    </row>
    <row r="126" spans="1:17" s="52" customFormat="1" ht="15.95" customHeight="1" x14ac:dyDescent="0.2">
      <c r="A126" s="164"/>
      <c r="B126" s="141">
        <v>123</v>
      </c>
      <c r="C126" s="144"/>
      <c r="D126" s="45"/>
      <c r="E126" s="65" t="str">
        <f>IFERROR(VLOOKUP(D126,BTiradores!$B$2:$H$327,2,FALSE),"")</f>
        <v/>
      </c>
      <c r="F126" s="66" t="str">
        <f>IFERROR(VLOOKUP(D126,BTiradores!$B$2:$H$327,3,FALSE),"")</f>
        <v/>
      </c>
      <c r="G126" s="66" t="str">
        <f>IFERROR(VLOOKUP(D126,BTiradores!$B$2:$H$327,4,FALSE),"")</f>
        <v/>
      </c>
      <c r="H126" s="67" t="str">
        <f>IFERROR(VLOOKUP(D126,BTiradores!$B$2:$H$327,5,FALSE),"")</f>
        <v/>
      </c>
      <c r="I126" s="66" t="str">
        <f>IFERROR(VLOOKUP(D126,BTiradores!$B$2:$H$327,6,FALSE),"")</f>
        <v/>
      </c>
      <c r="J126" s="66" t="str">
        <f>IFERROR(VLOOKUP(D126,BTiradores!$B$2:$H$327,7,FALSE),"")</f>
        <v/>
      </c>
      <c r="K126" s="39"/>
      <c r="L126" s="39"/>
      <c r="M126" s="39"/>
      <c r="N126" s="39"/>
      <c r="O126" s="66">
        <f t="shared" si="10"/>
        <v>0</v>
      </c>
      <c r="P126" s="39"/>
      <c r="Q126" s="72">
        <f t="shared" si="11"/>
        <v>0</v>
      </c>
    </row>
    <row r="127" spans="1:17" s="52" customFormat="1" ht="15.95" customHeight="1" x14ac:dyDescent="0.2">
      <c r="A127" s="164"/>
      <c r="B127" s="141">
        <v>124</v>
      </c>
      <c r="C127" s="144"/>
      <c r="D127" s="45"/>
      <c r="E127" s="65" t="str">
        <f>IFERROR(VLOOKUP(D127,BTiradores!$B$2:$H$327,2,FALSE),"")</f>
        <v/>
      </c>
      <c r="F127" s="66" t="str">
        <f>IFERROR(VLOOKUP(D127,BTiradores!$B$2:$H$327,3,FALSE),"")</f>
        <v/>
      </c>
      <c r="G127" s="66" t="str">
        <f>IFERROR(VLOOKUP(D127,BTiradores!$B$2:$H$327,4,FALSE),"")</f>
        <v/>
      </c>
      <c r="H127" s="67" t="str">
        <f>IFERROR(VLOOKUP(D127,BTiradores!$B$2:$H$327,5,FALSE),"")</f>
        <v/>
      </c>
      <c r="I127" s="66" t="str">
        <f>IFERROR(VLOOKUP(D127,BTiradores!$B$2:$H$327,6,FALSE),"")</f>
        <v/>
      </c>
      <c r="J127" s="66" t="str">
        <f>IFERROR(VLOOKUP(D127,BTiradores!$B$2:$H$327,7,FALSE),"")</f>
        <v/>
      </c>
      <c r="K127" s="39"/>
      <c r="L127" s="39"/>
      <c r="M127" s="39"/>
      <c r="N127" s="39"/>
      <c r="O127" s="66">
        <f t="shared" si="10"/>
        <v>0</v>
      </c>
      <c r="P127" s="39"/>
      <c r="Q127" s="72">
        <f t="shared" si="11"/>
        <v>0</v>
      </c>
    </row>
    <row r="128" spans="1:17" s="52" customFormat="1" ht="15.95" customHeight="1" x14ac:dyDescent="0.2">
      <c r="A128" s="164"/>
      <c r="B128" s="141">
        <v>125</v>
      </c>
      <c r="C128" s="144"/>
      <c r="D128" s="45"/>
      <c r="E128" s="65" t="str">
        <f>IFERROR(VLOOKUP(D128,BTiradores!$B$2:$H$327,2,FALSE),"")</f>
        <v/>
      </c>
      <c r="F128" s="66" t="str">
        <f>IFERROR(VLOOKUP(D128,BTiradores!$B$2:$H$327,3,FALSE),"")</f>
        <v/>
      </c>
      <c r="G128" s="66" t="str">
        <f>IFERROR(VLOOKUP(D128,BTiradores!$B$2:$H$327,4,FALSE),"")</f>
        <v/>
      </c>
      <c r="H128" s="67" t="str">
        <f>IFERROR(VLOOKUP(D128,BTiradores!$B$2:$H$327,5,FALSE),"")</f>
        <v/>
      </c>
      <c r="I128" s="66" t="str">
        <f>IFERROR(VLOOKUP(D128,BTiradores!$B$2:$H$327,6,FALSE),"")</f>
        <v/>
      </c>
      <c r="J128" s="66" t="str">
        <f>IFERROR(VLOOKUP(D128,BTiradores!$B$2:$H$327,7,FALSE),"")</f>
        <v/>
      </c>
      <c r="K128" s="39"/>
      <c r="L128" s="39"/>
      <c r="M128" s="39"/>
      <c r="N128" s="39"/>
      <c r="O128" s="66">
        <f t="shared" si="10"/>
        <v>0</v>
      </c>
      <c r="P128" s="39"/>
      <c r="Q128" s="72">
        <f t="shared" si="11"/>
        <v>0</v>
      </c>
    </row>
    <row r="129" spans="1:17" s="52" customFormat="1" ht="15.95" customHeight="1" x14ac:dyDescent="0.2">
      <c r="A129" s="166"/>
      <c r="B129" s="148">
        <v>126</v>
      </c>
      <c r="C129" s="145"/>
      <c r="D129" s="46"/>
      <c r="E129" s="68" t="str">
        <f>IFERROR(VLOOKUP(D129,BTiradores!$B$2:$H$327,2,FALSE),"")</f>
        <v/>
      </c>
      <c r="F129" s="69" t="str">
        <f>IFERROR(VLOOKUP(D129,BTiradores!$B$2:$H$327,3,FALSE),"")</f>
        <v/>
      </c>
      <c r="G129" s="69" t="str">
        <f>IFERROR(VLOOKUP(D129,BTiradores!$B$2:$H$327,4,FALSE),"")</f>
        <v/>
      </c>
      <c r="H129" s="70" t="str">
        <f>IFERROR(VLOOKUP(D129,BTiradores!$B$2:$H$327,5,FALSE),"")</f>
        <v/>
      </c>
      <c r="I129" s="69" t="str">
        <f>IFERROR(VLOOKUP(D129,BTiradores!$B$2:$H$327,6,FALSE),"")</f>
        <v/>
      </c>
      <c r="J129" s="69" t="str">
        <f>IFERROR(VLOOKUP(D129,BTiradores!$B$2:$H$327,7,FALSE),"")</f>
        <v/>
      </c>
      <c r="K129" s="41"/>
      <c r="L129" s="41"/>
      <c r="M129" s="41"/>
      <c r="N129" s="41"/>
      <c r="O129" s="69">
        <f t="shared" si="10"/>
        <v>0</v>
      </c>
      <c r="P129" s="41"/>
      <c r="Q129" s="73">
        <f t="shared" si="11"/>
        <v>0</v>
      </c>
    </row>
    <row r="130" spans="1:17" ht="11.25" customHeight="1" x14ac:dyDescent="0.6">
      <c r="C130" s="51"/>
      <c r="D130" s="45"/>
      <c r="E130" s="65" t="str">
        <f>IFERROR(VLOOKUP(D130,BTiradores!$B$2:$H$327,2,FALSE),"")</f>
        <v/>
      </c>
      <c r="F130" s="66" t="str">
        <f>IFERROR(VLOOKUP(D130,BTiradores!$B$2:$H$327,3,FALSE),"")</f>
        <v/>
      </c>
      <c r="G130" s="66" t="str">
        <f>IFERROR(VLOOKUP(D130,BTiradores!$B$2:$H$327,4,FALSE),"")</f>
        <v/>
      </c>
      <c r="H130" s="67" t="str">
        <f>IFERROR(VLOOKUP(D130,BTiradores!$B$2:$H$327,5,FALSE),"")</f>
        <v/>
      </c>
      <c r="I130" s="66" t="str">
        <f>IFERROR(VLOOKUP(D130,BTiradores!$B$2:$H$327,6,FALSE),"")</f>
        <v/>
      </c>
      <c r="J130" s="66" t="str">
        <f>IFERROR(VLOOKUP(D130,BTiradores!$B$2:$H$327,7,FALSE),"")</f>
        <v/>
      </c>
      <c r="K130" s="39"/>
      <c r="L130" s="39"/>
      <c r="M130" s="39"/>
      <c r="N130" s="39"/>
      <c r="O130" s="66">
        <f t="shared" si="10"/>
        <v>0</v>
      </c>
      <c r="P130" s="39"/>
      <c r="Q130" s="66">
        <f t="shared" si="11"/>
        <v>0</v>
      </c>
    </row>
    <row r="131" spans="1:17" ht="11.25" customHeight="1" x14ac:dyDescent="0.6">
      <c r="C131" s="51"/>
      <c r="D131" s="45"/>
      <c r="E131" s="65" t="str">
        <f>IFERROR(VLOOKUP(D131,BTiradores!$B$2:$H$327,2,FALSE),"")</f>
        <v/>
      </c>
      <c r="F131" s="66" t="str">
        <f>IFERROR(VLOOKUP(D131,BTiradores!$B$2:$H$327,3,FALSE),"")</f>
        <v/>
      </c>
      <c r="G131" s="66" t="str">
        <f>IFERROR(VLOOKUP(D131,BTiradores!$B$2:$H$327,4,FALSE),"")</f>
        <v/>
      </c>
      <c r="H131" s="67" t="str">
        <f>IFERROR(VLOOKUP(D131,BTiradores!$B$2:$H$327,5,FALSE),"")</f>
        <v/>
      </c>
      <c r="I131" s="66" t="str">
        <f>IFERROR(VLOOKUP(D131,BTiradores!$B$2:$H$327,6,FALSE),"")</f>
        <v/>
      </c>
      <c r="J131" s="66" t="str">
        <f>IFERROR(VLOOKUP(D131,BTiradores!$B$2:$H$327,7,FALSE),"")</f>
        <v/>
      </c>
      <c r="K131" s="39"/>
      <c r="L131" s="39"/>
      <c r="M131" s="39"/>
      <c r="N131" s="39"/>
      <c r="O131" s="66">
        <f t="shared" si="10"/>
        <v>0</v>
      </c>
      <c r="P131" s="39"/>
      <c r="Q131" s="66">
        <f t="shared" si="11"/>
        <v>0</v>
      </c>
    </row>
    <row r="132" spans="1:17" ht="11.25" customHeight="1" x14ac:dyDescent="0.6">
      <c r="C132" s="51"/>
      <c r="D132" s="45"/>
      <c r="E132" s="65" t="str">
        <f>IFERROR(VLOOKUP(D132,BTiradores!$B$2:$H$327,2,FALSE),"")</f>
        <v/>
      </c>
      <c r="F132" s="66" t="str">
        <f>IFERROR(VLOOKUP(D132,BTiradores!$B$2:$H$327,3,FALSE),"")</f>
        <v/>
      </c>
      <c r="G132" s="66" t="str">
        <f>IFERROR(VLOOKUP(D132,BTiradores!$B$2:$H$327,4,FALSE),"")</f>
        <v/>
      </c>
      <c r="H132" s="67" t="str">
        <f>IFERROR(VLOOKUP(D132,BTiradores!$B$2:$H$327,5,FALSE),"")</f>
        <v/>
      </c>
      <c r="I132" s="66" t="str">
        <f>IFERROR(VLOOKUP(D132,BTiradores!$B$2:$H$327,6,FALSE),"")</f>
        <v/>
      </c>
      <c r="J132" s="66" t="str">
        <f>IFERROR(VLOOKUP(D132,BTiradores!$B$2:$H$327,7,FALSE),"")</f>
        <v/>
      </c>
      <c r="K132" s="39"/>
      <c r="L132" s="39"/>
      <c r="M132" s="39"/>
      <c r="N132" s="39"/>
      <c r="O132" s="66">
        <f t="shared" si="10"/>
        <v>0</v>
      </c>
      <c r="P132" s="39"/>
      <c r="Q132" s="66">
        <f t="shared" si="11"/>
        <v>0</v>
      </c>
    </row>
    <row r="133" spans="1:17" ht="11.25" customHeight="1" x14ac:dyDescent="0.6">
      <c r="C133" s="51"/>
      <c r="D133" s="45"/>
      <c r="E133" s="65" t="str">
        <f>IFERROR(VLOOKUP(D133,BTiradores!$B$2:$H$327,2,FALSE),"")</f>
        <v/>
      </c>
      <c r="F133" s="66" t="str">
        <f>IFERROR(VLOOKUP(D133,BTiradores!$B$2:$H$327,3,FALSE),"")</f>
        <v/>
      </c>
      <c r="G133" s="66" t="str">
        <f>IFERROR(VLOOKUP(D133,BTiradores!$B$2:$H$327,4,FALSE),"")</f>
        <v/>
      </c>
      <c r="H133" s="67" t="str">
        <f>IFERROR(VLOOKUP(D133,BTiradores!$B$2:$H$327,5,FALSE),"")</f>
        <v/>
      </c>
      <c r="I133" s="66" t="str">
        <f>IFERROR(VLOOKUP(D133,BTiradores!$B$2:$H$327,6,FALSE),"")</f>
        <v/>
      </c>
      <c r="J133" s="66" t="str">
        <f>IFERROR(VLOOKUP(D133,BTiradores!$B$2:$H$327,7,FALSE),"")</f>
        <v/>
      </c>
      <c r="K133" s="39"/>
      <c r="L133" s="39"/>
      <c r="M133" s="39"/>
      <c r="N133" s="39"/>
      <c r="O133" s="66">
        <f t="shared" si="10"/>
        <v>0</v>
      </c>
      <c r="P133" s="39"/>
      <c r="Q133" s="66">
        <f t="shared" si="11"/>
        <v>0</v>
      </c>
    </row>
    <row r="134" spans="1:17" ht="11.25" customHeight="1" x14ac:dyDescent="0.6">
      <c r="C134" s="51"/>
      <c r="D134" s="45"/>
      <c r="E134" s="65" t="str">
        <f>IFERROR(VLOOKUP(D134,BTiradores!$B$2:$H$327,2,FALSE),"")</f>
        <v/>
      </c>
      <c r="F134" s="66" t="str">
        <f>IFERROR(VLOOKUP(D134,BTiradores!$B$2:$H$327,3,FALSE),"")</f>
        <v/>
      </c>
      <c r="G134" s="66" t="str">
        <f>IFERROR(VLOOKUP(D134,BTiradores!$B$2:$H$327,4,FALSE),"")</f>
        <v/>
      </c>
      <c r="H134" s="67" t="str">
        <f>IFERROR(VLOOKUP(D134,BTiradores!$B$2:$H$327,5,FALSE),"")</f>
        <v/>
      </c>
      <c r="I134" s="66" t="str">
        <f>IFERROR(VLOOKUP(D134,BTiradores!$B$2:$H$327,6,FALSE),"")</f>
        <v/>
      </c>
      <c r="J134" s="66" t="str">
        <f>IFERROR(VLOOKUP(D134,BTiradores!$B$2:$H$327,7,FALSE),"")</f>
        <v/>
      </c>
      <c r="K134" s="39"/>
      <c r="L134" s="39"/>
      <c r="M134" s="39"/>
      <c r="N134" s="39"/>
      <c r="O134" s="66">
        <f t="shared" si="10"/>
        <v>0</v>
      </c>
      <c r="P134" s="39"/>
      <c r="Q134" s="66">
        <f t="shared" si="11"/>
        <v>0</v>
      </c>
    </row>
    <row r="135" spans="1:17" ht="11.25" customHeight="1" x14ac:dyDescent="0.6">
      <c r="C135" s="51"/>
      <c r="D135" s="45"/>
      <c r="E135" s="65" t="str">
        <f>IFERROR(VLOOKUP(D135,BTiradores!$B$2:$H$327,2,FALSE),"")</f>
        <v/>
      </c>
      <c r="F135" s="66" t="str">
        <f>IFERROR(VLOOKUP(D135,BTiradores!$B$2:$H$327,3,FALSE),"")</f>
        <v/>
      </c>
      <c r="G135" s="66" t="str">
        <f>IFERROR(VLOOKUP(D135,BTiradores!$B$2:$H$327,4,FALSE),"")</f>
        <v/>
      </c>
      <c r="H135" s="67" t="str">
        <f>IFERROR(VLOOKUP(D135,BTiradores!$B$2:$H$327,5,FALSE),"")</f>
        <v/>
      </c>
      <c r="I135" s="66" t="str">
        <f>IFERROR(VLOOKUP(D135,BTiradores!$B$2:$H$327,6,FALSE),"")</f>
        <v/>
      </c>
      <c r="J135" s="66" t="str">
        <f>IFERROR(VLOOKUP(D135,BTiradores!$B$2:$H$327,7,FALSE),"")</f>
        <v/>
      </c>
      <c r="K135" s="39"/>
      <c r="L135" s="39"/>
      <c r="M135" s="39"/>
      <c r="N135" s="39"/>
      <c r="O135" s="66">
        <f t="shared" si="10"/>
        <v>0</v>
      </c>
      <c r="P135" s="39"/>
      <c r="Q135" s="66">
        <f t="shared" si="11"/>
        <v>0</v>
      </c>
    </row>
    <row r="136" spans="1:17" ht="11.25" customHeight="1" x14ac:dyDescent="0.6">
      <c r="C136" s="51"/>
      <c r="D136" s="45"/>
      <c r="E136" s="65" t="str">
        <f>IFERROR(VLOOKUP(D136,BTiradores!$B$2:$H$327,2,FALSE),"")</f>
        <v/>
      </c>
      <c r="F136" s="66" t="str">
        <f>IFERROR(VLOOKUP(D136,BTiradores!$B$2:$H$327,3,FALSE),"")</f>
        <v/>
      </c>
      <c r="G136" s="66" t="str">
        <f>IFERROR(VLOOKUP(D136,BTiradores!$B$2:$H$327,4,FALSE),"")</f>
        <v/>
      </c>
      <c r="H136" s="67" t="str">
        <f>IFERROR(VLOOKUP(D136,BTiradores!$B$2:$H$327,5,FALSE),"")</f>
        <v/>
      </c>
      <c r="I136" s="66" t="str">
        <f>IFERROR(VLOOKUP(D136,BTiradores!$B$2:$H$327,6,FALSE),"")</f>
        <v/>
      </c>
      <c r="J136" s="66" t="str">
        <f>IFERROR(VLOOKUP(D136,BTiradores!$B$2:$H$327,7,FALSE),"")</f>
        <v/>
      </c>
      <c r="K136" s="39"/>
      <c r="L136" s="39"/>
      <c r="M136" s="39"/>
      <c r="N136" s="39"/>
      <c r="O136" s="66">
        <f t="shared" si="10"/>
        <v>0</v>
      </c>
      <c r="P136" s="39"/>
      <c r="Q136" s="66">
        <f t="shared" si="11"/>
        <v>0</v>
      </c>
    </row>
    <row r="137" spans="1:17" ht="11.25" customHeight="1" x14ac:dyDescent="0.6">
      <c r="C137" s="51"/>
      <c r="D137" s="45"/>
      <c r="E137" s="65" t="str">
        <f>IFERROR(VLOOKUP(D137,BTiradores!$B$2:$H$327,2,FALSE),"")</f>
        <v/>
      </c>
      <c r="F137" s="66" t="str">
        <f>IFERROR(VLOOKUP(D137,BTiradores!$B$2:$H$327,3,FALSE),"")</f>
        <v/>
      </c>
      <c r="G137" s="66" t="str">
        <f>IFERROR(VLOOKUP(D137,BTiradores!$B$2:$H$327,4,FALSE),"")</f>
        <v/>
      </c>
      <c r="H137" s="67" t="str">
        <f>IFERROR(VLOOKUP(D137,BTiradores!$B$2:$H$327,5,FALSE),"")</f>
        <v/>
      </c>
      <c r="I137" s="66" t="str">
        <f>IFERROR(VLOOKUP(D137,BTiradores!$B$2:$H$327,6,FALSE),"")</f>
        <v/>
      </c>
      <c r="J137" s="66" t="str">
        <f>IFERROR(VLOOKUP(D137,BTiradores!$B$2:$H$327,7,FALSE),"")</f>
        <v/>
      </c>
      <c r="K137" s="39"/>
      <c r="L137" s="39"/>
      <c r="M137" s="39"/>
      <c r="N137" s="39"/>
      <c r="O137" s="66">
        <f t="shared" si="10"/>
        <v>0</v>
      </c>
      <c r="P137" s="39"/>
      <c r="Q137" s="66">
        <f t="shared" si="11"/>
        <v>0</v>
      </c>
    </row>
    <row r="138" spans="1:17" ht="11.25" customHeight="1" x14ac:dyDescent="0.6">
      <c r="C138" s="51"/>
      <c r="D138" s="45"/>
      <c r="E138" s="65" t="str">
        <f>IFERROR(VLOOKUP(D138,BTiradores!$B$2:$H$327,2,FALSE),"")</f>
        <v/>
      </c>
      <c r="F138" s="66" t="str">
        <f>IFERROR(VLOOKUP(D138,BTiradores!$B$2:$H$327,3,FALSE),"")</f>
        <v/>
      </c>
      <c r="G138" s="66" t="str">
        <f>IFERROR(VLOOKUP(D138,BTiradores!$B$2:$H$327,4,FALSE),"")</f>
        <v/>
      </c>
      <c r="H138" s="67" t="str">
        <f>IFERROR(VLOOKUP(D138,BTiradores!$B$2:$H$327,5,FALSE),"")</f>
        <v/>
      </c>
      <c r="I138" s="66" t="str">
        <f>IFERROR(VLOOKUP(D138,BTiradores!$B$2:$H$327,6,FALSE),"")</f>
        <v/>
      </c>
      <c r="J138" s="66" t="str">
        <f>IFERROR(VLOOKUP(D138,BTiradores!$B$2:$H$327,7,FALSE),"")</f>
        <v/>
      </c>
      <c r="K138" s="39"/>
      <c r="L138" s="39"/>
      <c r="M138" s="39"/>
      <c r="N138" s="39"/>
      <c r="O138" s="66">
        <f t="shared" si="10"/>
        <v>0</v>
      </c>
      <c r="P138" s="39"/>
      <c r="Q138" s="66">
        <f t="shared" si="11"/>
        <v>0</v>
      </c>
    </row>
    <row r="139" spans="1:17" ht="11.25" customHeight="1" x14ac:dyDescent="0.6">
      <c r="C139" s="51"/>
      <c r="D139" s="45"/>
      <c r="E139" s="65" t="str">
        <f>IFERROR(VLOOKUP(D139,BTiradores!$B$2:$H$327,2,FALSE),"")</f>
        <v/>
      </c>
      <c r="F139" s="66" t="str">
        <f>IFERROR(VLOOKUP(D139,BTiradores!$B$2:$H$327,3,FALSE),"")</f>
        <v/>
      </c>
      <c r="G139" s="66" t="str">
        <f>IFERROR(VLOOKUP(D139,BTiradores!$B$2:$H$327,4,FALSE),"")</f>
        <v/>
      </c>
      <c r="H139" s="67" t="str">
        <f>IFERROR(VLOOKUP(D139,BTiradores!$B$2:$H$327,5,FALSE),"")</f>
        <v/>
      </c>
      <c r="I139" s="66" t="str">
        <f>IFERROR(VLOOKUP(D139,BTiradores!$B$2:$H$327,6,FALSE),"")</f>
        <v/>
      </c>
      <c r="J139" s="66" t="str">
        <f>IFERROR(VLOOKUP(D139,BTiradores!$B$2:$H$327,7,FALSE),"")</f>
        <v/>
      </c>
      <c r="K139" s="39"/>
      <c r="L139" s="39"/>
      <c r="M139" s="39"/>
      <c r="N139" s="39"/>
      <c r="O139" s="66">
        <f t="shared" si="10"/>
        <v>0</v>
      </c>
      <c r="P139" s="39"/>
      <c r="Q139" s="66">
        <f t="shared" si="11"/>
        <v>0</v>
      </c>
    </row>
    <row r="140" spans="1:17" ht="11.25" customHeight="1" x14ac:dyDescent="0.6">
      <c r="C140" s="51"/>
      <c r="D140" s="45"/>
      <c r="E140" s="65" t="str">
        <f>IFERROR(VLOOKUP(D140,BTiradores!$B$2:$H$327,2,FALSE),"")</f>
        <v/>
      </c>
      <c r="F140" s="66" t="str">
        <f>IFERROR(VLOOKUP(D140,BTiradores!$B$2:$H$327,3,FALSE),"")</f>
        <v/>
      </c>
      <c r="G140" s="66" t="str">
        <f>IFERROR(VLOOKUP(D140,BTiradores!$B$2:$H$327,4,FALSE),"")</f>
        <v/>
      </c>
      <c r="H140" s="67" t="str">
        <f>IFERROR(VLOOKUP(D140,BTiradores!$B$2:$H$327,5,FALSE),"")</f>
        <v/>
      </c>
      <c r="I140" s="66" t="str">
        <f>IFERROR(VLOOKUP(D140,BTiradores!$B$2:$H$327,6,FALSE),"")</f>
        <v/>
      </c>
      <c r="J140" s="66" t="str">
        <f>IFERROR(VLOOKUP(D140,BTiradores!$B$2:$H$327,7,FALSE),"")</f>
        <v/>
      </c>
      <c r="K140" s="39"/>
      <c r="L140" s="39"/>
      <c r="M140" s="39"/>
      <c r="N140" s="39"/>
      <c r="O140" s="66">
        <f t="shared" si="10"/>
        <v>0</v>
      </c>
      <c r="P140" s="39"/>
      <c r="Q140" s="66">
        <f t="shared" si="11"/>
        <v>0</v>
      </c>
    </row>
    <row r="141" spans="1:17" ht="11.25" customHeight="1" x14ac:dyDescent="0.6">
      <c r="C141" s="51"/>
      <c r="D141" s="45"/>
      <c r="E141" s="65" t="str">
        <f>IFERROR(VLOOKUP(D141,BTiradores!$B$2:$H$327,2,FALSE),"")</f>
        <v/>
      </c>
      <c r="F141" s="66" t="str">
        <f>IFERROR(VLOOKUP(D141,BTiradores!$B$2:$H$327,3,FALSE),"")</f>
        <v/>
      </c>
      <c r="G141" s="66" t="str">
        <f>IFERROR(VLOOKUP(D141,BTiradores!$B$2:$H$327,4,FALSE),"")</f>
        <v/>
      </c>
      <c r="H141" s="67" t="str">
        <f>IFERROR(VLOOKUP(D141,BTiradores!$B$2:$H$327,5,FALSE),"")</f>
        <v/>
      </c>
      <c r="I141" s="66" t="str">
        <f>IFERROR(VLOOKUP(D141,BTiradores!$B$2:$H$327,6,FALSE),"")</f>
        <v/>
      </c>
      <c r="J141" s="66" t="str">
        <f>IFERROR(VLOOKUP(D141,BTiradores!$B$2:$H$327,7,FALSE),"")</f>
        <v/>
      </c>
      <c r="K141" s="39"/>
      <c r="L141" s="39"/>
      <c r="M141" s="39"/>
      <c r="N141" s="39"/>
      <c r="O141" s="66">
        <f t="shared" si="10"/>
        <v>0</v>
      </c>
      <c r="P141" s="39"/>
      <c r="Q141" s="66">
        <f t="shared" si="11"/>
        <v>0</v>
      </c>
    </row>
    <row r="142" spans="1:17" ht="11.25" customHeight="1" x14ac:dyDescent="0.6">
      <c r="C142" s="51"/>
      <c r="D142" s="45"/>
      <c r="E142" s="65" t="str">
        <f>IFERROR(VLOOKUP(D142,BTiradores!$B$2:$H$327,2,FALSE),"")</f>
        <v/>
      </c>
      <c r="F142" s="66" t="str">
        <f>IFERROR(VLOOKUP(D142,BTiradores!$B$2:$H$327,3,FALSE),"")</f>
        <v/>
      </c>
      <c r="G142" s="66" t="str">
        <f>IFERROR(VLOOKUP(D142,BTiradores!$B$2:$H$327,4,FALSE),"")</f>
        <v/>
      </c>
      <c r="H142" s="67" t="str">
        <f>IFERROR(VLOOKUP(D142,BTiradores!$B$2:$H$327,5,FALSE),"")</f>
        <v/>
      </c>
      <c r="I142" s="66" t="str">
        <f>IFERROR(VLOOKUP(D142,BTiradores!$B$2:$H$327,6,FALSE),"")</f>
        <v/>
      </c>
      <c r="J142" s="66" t="str">
        <f>IFERROR(VLOOKUP(D142,BTiradores!$B$2:$H$327,7,FALSE),"")</f>
        <v/>
      </c>
      <c r="K142" s="39"/>
      <c r="L142" s="39"/>
      <c r="M142" s="39"/>
      <c r="N142" s="39"/>
      <c r="O142" s="66">
        <f t="shared" si="10"/>
        <v>0</v>
      </c>
      <c r="P142" s="39"/>
      <c r="Q142" s="66">
        <f t="shared" si="11"/>
        <v>0</v>
      </c>
    </row>
    <row r="143" spans="1:17" ht="11.25" customHeight="1" x14ac:dyDescent="0.6">
      <c r="C143" s="51"/>
      <c r="D143" s="45"/>
      <c r="E143" s="65" t="str">
        <f>IFERROR(VLOOKUP(D143,BTiradores!$B$2:$H$327,2,FALSE),"")</f>
        <v/>
      </c>
      <c r="F143" s="66" t="str">
        <f>IFERROR(VLOOKUP(D143,BTiradores!$B$2:$H$327,3,FALSE),"")</f>
        <v/>
      </c>
      <c r="G143" s="66" t="str">
        <f>IFERROR(VLOOKUP(D143,BTiradores!$B$2:$H$327,4,FALSE),"")</f>
        <v/>
      </c>
      <c r="H143" s="67" t="str">
        <f>IFERROR(VLOOKUP(D143,BTiradores!$B$2:$H$327,5,FALSE),"")</f>
        <v/>
      </c>
      <c r="I143" s="66" t="str">
        <f>IFERROR(VLOOKUP(D143,BTiradores!$B$2:$H$327,6,FALSE),"")</f>
        <v/>
      </c>
      <c r="J143" s="66" t="str">
        <f>IFERROR(VLOOKUP(D143,BTiradores!$B$2:$H$327,7,FALSE),"")</f>
        <v/>
      </c>
      <c r="K143" s="39"/>
      <c r="L143" s="39"/>
      <c r="M143" s="39"/>
      <c r="N143" s="39"/>
      <c r="O143" s="66">
        <f t="shared" si="10"/>
        <v>0</v>
      </c>
      <c r="P143" s="39"/>
      <c r="Q143" s="66">
        <f t="shared" si="11"/>
        <v>0</v>
      </c>
    </row>
    <row r="144" spans="1:17" ht="11.25" customHeight="1" x14ac:dyDescent="0.6">
      <c r="C144" s="51"/>
      <c r="D144" s="45"/>
      <c r="E144" s="65" t="str">
        <f>IFERROR(VLOOKUP(D144,BTiradores!$B$2:$H$327,2,FALSE),"")</f>
        <v/>
      </c>
      <c r="F144" s="66" t="str">
        <f>IFERROR(VLOOKUP(D144,BTiradores!$B$2:$H$327,3,FALSE),"")</f>
        <v/>
      </c>
      <c r="G144" s="66" t="str">
        <f>IFERROR(VLOOKUP(D144,BTiradores!$B$2:$H$327,4,FALSE),"")</f>
        <v/>
      </c>
      <c r="H144" s="67" t="str">
        <f>IFERROR(VLOOKUP(D144,BTiradores!$B$2:$H$327,5,FALSE),"")</f>
        <v/>
      </c>
      <c r="I144" s="66" t="str">
        <f>IFERROR(VLOOKUP(D144,BTiradores!$B$2:$H$327,6,FALSE),"")</f>
        <v/>
      </c>
      <c r="J144" s="66" t="str">
        <f>IFERROR(VLOOKUP(D144,BTiradores!$B$2:$H$327,7,FALSE),"")</f>
        <v/>
      </c>
      <c r="K144" s="39"/>
      <c r="L144" s="39"/>
      <c r="M144" s="39"/>
      <c r="N144" s="39"/>
      <c r="O144" s="66">
        <f t="shared" si="10"/>
        <v>0</v>
      </c>
      <c r="P144" s="39"/>
      <c r="Q144" s="66">
        <f t="shared" si="11"/>
        <v>0</v>
      </c>
    </row>
    <row r="145" ht="11.25" customHeight="1" x14ac:dyDescent="0.6"/>
    <row r="146" ht="11.25" customHeight="1" x14ac:dyDescent="0.6"/>
    <row r="147" ht="11.25" customHeight="1" x14ac:dyDescent="0.6"/>
    <row r="148" ht="11.25" customHeight="1" x14ac:dyDescent="0.6"/>
    <row r="149" ht="11.25" customHeight="1" x14ac:dyDescent="0.6"/>
    <row r="150" ht="11.25" customHeight="1" x14ac:dyDescent="0.6"/>
    <row r="151" ht="11.25" customHeight="1" x14ac:dyDescent="0.6"/>
    <row r="152" ht="11.25" customHeight="1" x14ac:dyDescent="0.6"/>
    <row r="153" ht="11.25" customHeight="1" x14ac:dyDescent="0.6"/>
    <row r="154" ht="11.25" customHeight="1" x14ac:dyDescent="0.6"/>
    <row r="155" ht="11.25" customHeight="1" x14ac:dyDescent="0.6"/>
    <row r="156" ht="11.25" customHeight="1" x14ac:dyDescent="0.6"/>
    <row r="157" ht="11.25" customHeight="1" x14ac:dyDescent="0.6"/>
    <row r="158" ht="11.25" customHeight="1" x14ac:dyDescent="0.6"/>
    <row r="159" ht="11.25" customHeight="1" x14ac:dyDescent="0.6"/>
    <row r="160" ht="11.25" customHeight="1" x14ac:dyDescent="0.6"/>
    <row r="161" ht="11.25" customHeight="1" x14ac:dyDescent="0.6"/>
    <row r="162" ht="11.25" customHeight="1" x14ac:dyDescent="0.6"/>
    <row r="163" ht="11.25" customHeight="1" x14ac:dyDescent="0.6"/>
    <row r="164" ht="11.25" customHeight="1" x14ac:dyDescent="0.6"/>
    <row r="165" ht="11.25" customHeight="1" x14ac:dyDescent="0.6"/>
    <row r="166" ht="11.25" customHeight="1" x14ac:dyDescent="0.6"/>
    <row r="167" ht="11.25" customHeight="1" x14ac:dyDescent="0.6"/>
    <row r="168" ht="11.25" customHeight="1" x14ac:dyDescent="0.6"/>
    <row r="169" ht="11.25" customHeight="1" x14ac:dyDescent="0.6"/>
    <row r="170" ht="11.25" customHeight="1" x14ac:dyDescent="0.6"/>
    <row r="171" ht="11.25" customHeight="1" x14ac:dyDescent="0.6"/>
    <row r="172" ht="11.25" customHeight="1" x14ac:dyDescent="0.6"/>
    <row r="173" ht="11.25" customHeight="1" x14ac:dyDescent="0.6"/>
    <row r="174" ht="11.25" customHeight="1" x14ac:dyDescent="0.6"/>
    <row r="175" ht="11.25" customHeight="1" x14ac:dyDescent="0.6"/>
    <row r="176" ht="11.25" customHeight="1" x14ac:dyDescent="0.6"/>
    <row r="177" ht="11.25" customHeight="1" x14ac:dyDescent="0.6"/>
    <row r="178" ht="11.25" customHeight="1" x14ac:dyDescent="0.6"/>
    <row r="179" ht="11.25" customHeight="1" x14ac:dyDescent="0.6"/>
    <row r="180" ht="11.25" customHeight="1" x14ac:dyDescent="0.6"/>
    <row r="181" ht="11.25" customHeight="1" x14ac:dyDescent="0.6"/>
    <row r="182" ht="11.25" customHeight="1" x14ac:dyDescent="0.6"/>
    <row r="183" ht="11.25" customHeight="1" x14ac:dyDescent="0.6"/>
    <row r="184" ht="11.25" customHeight="1" x14ac:dyDescent="0.6"/>
    <row r="185" ht="11.25" customHeight="1" x14ac:dyDescent="0.6"/>
    <row r="186" ht="11.25" customHeight="1" x14ac:dyDescent="0.6"/>
    <row r="187" ht="11.25" customHeight="1" x14ac:dyDescent="0.6"/>
    <row r="188" ht="11.25" customHeight="1" x14ac:dyDescent="0.6"/>
    <row r="189" ht="11.25" customHeight="1" x14ac:dyDescent="0.6"/>
    <row r="190" ht="11.25" customHeight="1" x14ac:dyDescent="0.6"/>
    <row r="191" ht="11.25" customHeight="1" x14ac:dyDescent="0.6"/>
    <row r="192" ht="11.25" customHeight="1" x14ac:dyDescent="0.6"/>
    <row r="193" ht="11.25" customHeight="1" x14ac:dyDescent="0.6"/>
    <row r="194" ht="11.25" customHeight="1" x14ac:dyDescent="0.6"/>
    <row r="195" ht="11.25" customHeight="1" x14ac:dyDescent="0.6"/>
    <row r="196" ht="11.25" customHeight="1" x14ac:dyDescent="0.6"/>
    <row r="197" ht="11.25" customHeight="1" x14ac:dyDescent="0.6"/>
    <row r="198" ht="11.25" customHeight="1" x14ac:dyDescent="0.6"/>
    <row r="199" ht="11.25" customHeight="1" x14ac:dyDescent="0.6"/>
    <row r="200" ht="11.25" customHeight="1" x14ac:dyDescent="0.6"/>
    <row r="201" ht="11.25" customHeight="1" x14ac:dyDescent="0.6"/>
    <row r="202" ht="11.25" customHeight="1" x14ac:dyDescent="0.6"/>
    <row r="203" ht="11.25" customHeight="1" x14ac:dyDescent="0.6"/>
    <row r="204" ht="11.25" customHeight="1" x14ac:dyDescent="0.6"/>
    <row r="205" ht="11.25" customHeight="1" x14ac:dyDescent="0.6"/>
    <row r="206" ht="11.25" customHeight="1" x14ac:dyDescent="0.6"/>
    <row r="207" ht="11.25" customHeight="1" x14ac:dyDescent="0.6"/>
    <row r="208" ht="11.25" customHeight="1" x14ac:dyDescent="0.6"/>
    <row r="209" ht="11.25" customHeight="1" x14ac:dyDescent="0.6"/>
    <row r="210" ht="11.25" customHeight="1" x14ac:dyDescent="0.6"/>
    <row r="211" ht="11.25" customHeight="1" x14ac:dyDescent="0.6"/>
    <row r="212" ht="11.25" customHeight="1" x14ac:dyDescent="0.6"/>
    <row r="213" ht="11.25" customHeight="1" x14ac:dyDescent="0.6"/>
    <row r="214" ht="11.25" customHeight="1" x14ac:dyDescent="0.6"/>
    <row r="215" ht="11.25" customHeight="1" x14ac:dyDescent="0.6"/>
    <row r="216" ht="11.25" customHeight="1" x14ac:dyDescent="0.6"/>
    <row r="217" ht="11.25" customHeight="1" x14ac:dyDescent="0.6"/>
    <row r="218" ht="11.25" customHeight="1" x14ac:dyDescent="0.6"/>
    <row r="219" ht="11.25" customHeight="1" x14ac:dyDescent="0.6"/>
    <row r="220" ht="11.25" customHeight="1" x14ac:dyDescent="0.6"/>
    <row r="221" ht="11.25" customHeight="1" x14ac:dyDescent="0.6"/>
    <row r="222" ht="11.25" customHeight="1" x14ac:dyDescent="0.6"/>
    <row r="223" ht="11.25" customHeight="1" x14ac:dyDescent="0.6"/>
    <row r="224" ht="11.25" customHeight="1" x14ac:dyDescent="0.6"/>
    <row r="225" ht="11.25" customHeight="1" x14ac:dyDescent="0.6"/>
    <row r="226" ht="11.25" customHeight="1" x14ac:dyDescent="0.6"/>
    <row r="227" ht="11.25" customHeight="1" x14ac:dyDescent="0.6"/>
    <row r="228" ht="11.25" customHeight="1" x14ac:dyDescent="0.6"/>
    <row r="229" ht="11.25" customHeight="1" x14ac:dyDescent="0.6"/>
    <row r="230" ht="11.25" customHeight="1" x14ac:dyDescent="0.6"/>
    <row r="231" ht="11.25" customHeight="1" x14ac:dyDescent="0.6"/>
    <row r="232" ht="11.25" customHeight="1" x14ac:dyDescent="0.6"/>
    <row r="233" ht="11.25" customHeight="1" x14ac:dyDescent="0.6"/>
    <row r="234" ht="11.25" customHeight="1" x14ac:dyDescent="0.6"/>
    <row r="235" ht="11.25" customHeight="1" x14ac:dyDescent="0.6"/>
    <row r="236" ht="11.25" customHeight="1" x14ac:dyDescent="0.6"/>
    <row r="237" ht="11.25" customHeight="1" x14ac:dyDescent="0.6"/>
    <row r="238" ht="11.25" customHeight="1" x14ac:dyDescent="0.6"/>
    <row r="239" ht="11.25" customHeight="1" x14ac:dyDescent="0.6"/>
    <row r="240" ht="11.25" customHeight="1" x14ac:dyDescent="0.6"/>
    <row r="241" ht="11.25" customHeight="1" x14ac:dyDescent="0.6"/>
    <row r="242" ht="11.25" customHeight="1" x14ac:dyDescent="0.6"/>
    <row r="243" ht="11.25" customHeight="1" x14ac:dyDescent="0.6"/>
    <row r="244" ht="11.25" customHeight="1" x14ac:dyDescent="0.6"/>
    <row r="245" ht="11.25" customHeight="1" x14ac:dyDescent="0.6"/>
    <row r="246" ht="11.25" customHeight="1" x14ac:dyDescent="0.6"/>
    <row r="247" ht="11.25" customHeight="1" x14ac:dyDescent="0.6"/>
    <row r="248" ht="11.25" customHeight="1" x14ac:dyDescent="0.6"/>
    <row r="249" ht="11.25" customHeight="1" x14ac:dyDescent="0.6"/>
    <row r="250" ht="11.25" customHeight="1" x14ac:dyDescent="0.6"/>
    <row r="251" ht="11.25" customHeight="1" x14ac:dyDescent="0.6"/>
    <row r="252" ht="11.25" customHeight="1" x14ac:dyDescent="0.6"/>
    <row r="253" ht="11.25" customHeight="1" x14ac:dyDescent="0.6"/>
    <row r="254" ht="11.25" customHeight="1" x14ac:dyDescent="0.6"/>
    <row r="255" ht="11.25" customHeight="1" x14ac:dyDescent="0.6"/>
    <row r="256" ht="11.25" customHeight="1" x14ac:dyDescent="0.6"/>
    <row r="257" ht="11.25" customHeight="1" x14ac:dyDescent="0.6"/>
    <row r="258" ht="11.25" customHeight="1" x14ac:dyDescent="0.6"/>
    <row r="259" ht="11.25" customHeight="1" x14ac:dyDescent="0.6"/>
    <row r="260" ht="11.25" customHeight="1" x14ac:dyDescent="0.6"/>
    <row r="261" ht="11.25" customHeight="1" x14ac:dyDescent="0.6"/>
    <row r="262" ht="11.25" customHeight="1" x14ac:dyDescent="0.6"/>
    <row r="263" ht="11.25" customHeight="1" x14ac:dyDescent="0.6"/>
    <row r="264" ht="11.25" customHeight="1" x14ac:dyDescent="0.6"/>
    <row r="265" ht="11.25" customHeight="1" x14ac:dyDescent="0.6"/>
    <row r="266" ht="11.25" customHeight="1" x14ac:dyDescent="0.6"/>
    <row r="267" ht="11.25" customHeight="1" x14ac:dyDescent="0.6"/>
    <row r="268" ht="11.25" customHeight="1" x14ac:dyDescent="0.6"/>
    <row r="269" ht="11.25" customHeight="1" x14ac:dyDescent="0.6"/>
    <row r="270" ht="11.25" customHeight="1" x14ac:dyDescent="0.6"/>
    <row r="271" ht="11.25" customHeight="1" x14ac:dyDescent="0.6"/>
    <row r="272" ht="11.25" customHeight="1" x14ac:dyDescent="0.6"/>
    <row r="273" ht="11.25" customHeight="1" x14ac:dyDescent="0.6"/>
    <row r="274" ht="11.25" customHeight="1" x14ac:dyDescent="0.6"/>
    <row r="275" ht="11.25" customHeight="1" x14ac:dyDescent="0.6"/>
    <row r="276" ht="11.25" customHeight="1" x14ac:dyDescent="0.6"/>
    <row r="277" ht="11.25" customHeight="1" x14ac:dyDescent="0.6"/>
    <row r="278" ht="11.25" customHeight="1" x14ac:dyDescent="0.6"/>
    <row r="279" ht="11.25" customHeight="1" x14ac:dyDescent="0.6"/>
    <row r="280" ht="11.25" customHeight="1" x14ac:dyDescent="0.6"/>
    <row r="281" ht="11.25" customHeight="1" x14ac:dyDescent="0.6"/>
    <row r="282" ht="11.25" customHeight="1" x14ac:dyDescent="0.6"/>
    <row r="283" ht="11.25" customHeight="1" x14ac:dyDescent="0.6"/>
    <row r="284" ht="11.25" customHeight="1" x14ac:dyDescent="0.6"/>
    <row r="285" ht="11.25" customHeight="1" x14ac:dyDescent="0.6"/>
    <row r="286" ht="11.25" customHeight="1" x14ac:dyDescent="0.6"/>
    <row r="287" ht="11.25" customHeight="1" x14ac:dyDescent="0.6"/>
    <row r="288" ht="11.25" customHeight="1" x14ac:dyDescent="0.6"/>
    <row r="289" ht="11.25" customHeight="1" x14ac:dyDescent="0.6"/>
    <row r="290" ht="11.25" customHeight="1" x14ac:dyDescent="0.6"/>
    <row r="291" ht="11.25" customHeight="1" x14ac:dyDescent="0.6"/>
    <row r="292" ht="11.25" customHeight="1" x14ac:dyDescent="0.6"/>
    <row r="293" ht="11.25" customHeight="1" x14ac:dyDescent="0.6"/>
    <row r="294" ht="11.25" customHeight="1" x14ac:dyDescent="0.6"/>
    <row r="295" ht="11.25" customHeight="1" x14ac:dyDescent="0.6"/>
    <row r="296" ht="11.25" customHeight="1" x14ac:dyDescent="0.6"/>
    <row r="297" ht="11.25" customHeight="1" x14ac:dyDescent="0.6"/>
    <row r="298" ht="11.25" customHeight="1" x14ac:dyDescent="0.6"/>
    <row r="299" ht="11.25" customHeight="1" x14ac:dyDescent="0.6"/>
    <row r="300" ht="11.25" customHeight="1" x14ac:dyDescent="0.6"/>
    <row r="301" ht="11.25" customHeight="1" x14ac:dyDescent="0.6"/>
    <row r="302" ht="11.25" customHeight="1" x14ac:dyDescent="0.6"/>
    <row r="303" ht="11.25" customHeight="1" x14ac:dyDescent="0.6"/>
    <row r="304" ht="11.25" customHeight="1" x14ac:dyDescent="0.6"/>
    <row r="305" ht="11.25" customHeight="1" x14ac:dyDescent="0.6"/>
    <row r="306" ht="11.25" customHeight="1" x14ac:dyDescent="0.6"/>
    <row r="307" ht="11.25" customHeight="1" x14ac:dyDescent="0.6"/>
    <row r="308" ht="11.25" customHeight="1" x14ac:dyDescent="0.6"/>
    <row r="309" ht="11.25" customHeight="1" x14ac:dyDescent="0.6"/>
    <row r="310" ht="11.25" customHeight="1" x14ac:dyDescent="0.6"/>
    <row r="311" ht="11.25" customHeight="1" x14ac:dyDescent="0.6"/>
    <row r="312" ht="11.25" customHeight="1" x14ac:dyDescent="0.6"/>
    <row r="313" ht="11.25" customHeight="1" x14ac:dyDescent="0.6"/>
    <row r="314" ht="11.25" customHeight="1" x14ac:dyDescent="0.6"/>
    <row r="315" ht="11.25" customHeight="1" x14ac:dyDescent="0.6"/>
    <row r="316" ht="11.25" customHeight="1" x14ac:dyDescent="0.6"/>
    <row r="317" ht="11.25" customHeight="1" x14ac:dyDescent="0.6"/>
    <row r="318" ht="11.25" customHeight="1" x14ac:dyDescent="0.6"/>
    <row r="319" ht="11.25" customHeight="1" x14ac:dyDescent="0.6"/>
    <row r="320" ht="11.25" customHeight="1" x14ac:dyDescent="0.6"/>
    <row r="321" ht="11.25" customHeight="1" x14ac:dyDescent="0.6"/>
    <row r="322" ht="11.25" customHeight="1" x14ac:dyDescent="0.6"/>
    <row r="323" ht="11.25" customHeight="1" x14ac:dyDescent="0.6"/>
    <row r="324" ht="11.25" customHeight="1" x14ac:dyDescent="0.6"/>
    <row r="325" ht="11.25" customHeight="1" x14ac:dyDescent="0.6"/>
    <row r="326" ht="11.25" customHeight="1" x14ac:dyDescent="0.6"/>
    <row r="327" ht="11.25" customHeight="1" x14ac:dyDescent="0.6"/>
    <row r="328" ht="11.25" customHeight="1" x14ac:dyDescent="0.6"/>
    <row r="329" ht="11.25" customHeight="1" x14ac:dyDescent="0.6"/>
    <row r="330" ht="11.25" customHeight="1" x14ac:dyDescent="0.6"/>
    <row r="331" ht="11.25" customHeight="1" x14ac:dyDescent="0.6"/>
    <row r="332" ht="11.25" customHeight="1" x14ac:dyDescent="0.6"/>
    <row r="333" ht="11.25" customHeight="1" x14ac:dyDescent="0.6"/>
    <row r="334" ht="11.25" customHeight="1" x14ac:dyDescent="0.6"/>
    <row r="335" ht="11.25" customHeight="1" x14ac:dyDescent="0.6"/>
    <row r="336" ht="11.25" customHeight="1" x14ac:dyDescent="0.6"/>
    <row r="337" ht="11.25" customHeight="1" x14ac:dyDescent="0.6"/>
    <row r="338" ht="11.25" customHeight="1" x14ac:dyDescent="0.6"/>
    <row r="339" ht="11.25" customHeight="1" x14ac:dyDescent="0.6"/>
    <row r="340" ht="11.25" customHeight="1" x14ac:dyDescent="0.6"/>
    <row r="341" ht="11.25" customHeight="1" x14ac:dyDescent="0.6"/>
    <row r="342" ht="11.25" customHeight="1" x14ac:dyDescent="0.6"/>
    <row r="343" ht="11.25" customHeight="1" x14ac:dyDescent="0.6"/>
    <row r="344" ht="11.25" customHeight="1" x14ac:dyDescent="0.6"/>
    <row r="345" ht="11.25" customHeight="1" x14ac:dyDescent="0.6"/>
    <row r="346" ht="11.25" customHeight="1" x14ac:dyDescent="0.6"/>
    <row r="347" ht="11.25" customHeight="1" x14ac:dyDescent="0.6"/>
    <row r="348" ht="11.25" customHeight="1" x14ac:dyDescent="0.6"/>
    <row r="349" ht="11.25" customHeight="1" x14ac:dyDescent="0.6"/>
    <row r="350" ht="11.25" customHeight="1" x14ac:dyDescent="0.6"/>
    <row r="351" ht="11.25" customHeight="1" x14ac:dyDescent="0.6"/>
    <row r="352" ht="11.25" customHeight="1" x14ac:dyDescent="0.6"/>
    <row r="353" ht="11.25" customHeight="1" x14ac:dyDescent="0.6"/>
    <row r="354" ht="11.25" customHeight="1" x14ac:dyDescent="0.6"/>
    <row r="355" ht="11.25" customHeight="1" x14ac:dyDescent="0.6"/>
    <row r="356" ht="11.25" customHeight="1" x14ac:dyDescent="0.6"/>
    <row r="357" ht="11.25" customHeight="1" x14ac:dyDescent="0.6"/>
    <row r="358" ht="11.25" customHeight="1" x14ac:dyDescent="0.6"/>
    <row r="359" ht="11.25" customHeight="1" x14ac:dyDescent="0.6"/>
    <row r="360" ht="11.25" customHeight="1" x14ac:dyDescent="0.6"/>
    <row r="361" ht="11.25" customHeight="1" x14ac:dyDescent="0.6"/>
    <row r="362" ht="11.25" customHeight="1" x14ac:dyDescent="0.6"/>
    <row r="363" ht="11.25" customHeight="1" x14ac:dyDescent="0.6"/>
    <row r="364" ht="11.25" customHeight="1" x14ac:dyDescent="0.6"/>
    <row r="365" ht="11.25" customHeight="1" x14ac:dyDescent="0.6"/>
    <row r="366" ht="11.25" customHeight="1" x14ac:dyDescent="0.6"/>
    <row r="367" ht="11.25" customHeight="1" x14ac:dyDescent="0.6"/>
    <row r="368" ht="11.25" customHeight="1" x14ac:dyDescent="0.6"/>
    <row r="369" ht="11.25" customHeight="1" x14ac:dyDescent="0.6"/>
    <row r="370" ht="11.25" customHeight="1" x14ac:dyDescent="0.6"/>
    <row r="371" ht="11.25" customHeight="1" x14ac:dyDescent="0.6"/>
    <row r="372" ht="11.25" customHeight="1" x14ac:dyDescent="0.6"/>
    <row r="373" ht="11.25" customHeight="1" x14ac:dyDescent="0.6"/>
    <row r="374" ht="11.25" customHeight="1" x14ac:dyDescent="0.6"/>
    <row r="375" ht="11.25" customHeight="1" x14ac:dyDescent="0.6"/>
    <row r="376" ht="11.25" customHeight="1" x14ac:dyDescent="0.6"/>
    <row r="377" ht="11.25" customHeight="1" x14ac:dyDescent="0.6"/>
    <row r="378" ht="11.25" customHeight="1" x14ac:dyDescent="0.6"/>
    <row r="379" ht="11.25" customHeight="1" x14ac:dyDescent="0.6"/>
    <row r="380" ht="11.25" customHeight="1" x14ac:dyDescent="0.6"/>
    <row r="381" ht="11.25" customHeight="1" x14ac:dyDescent="0.6"/>
    <row r="382" ht="11.25" customHeight="1" x14ac:dyDescent="0.6"/>
    <row r="383" ht="11.25" customHeight="1" x14ac:dyDescent="0.6"/>
    <row r="384" ht="11.25" customHeight="1" x14ac:dyDescent="0.6"/>
    <row r="385" ht="11.25" customHeight="1" x14ac:dyDescent="0.6"/>
    <row r="386" ht="11.25" customHeight="1" x14ac:dyDescent="0.6"/>
    <row r="387" ht="11.25" customHeight="1" x14ac:dyDescent="0.6"/>
    <row r="388" ht="11.25" customHeight="1" x14ac:dyDescent="0.6"/>
    <row r="389" ht="11.25" customHeight="1" x14ac:dyDescent="0.6"/>
    <row r="390" ht="11.25" customHeight="1" x14ac:dyDescent="0.6"/>
    <row r="391" ht="11.25" customHeight="1" x14ac:dyDescent="0.6"/>
    <row r="392" ht="11.25" customHeight="1" x14ac:dyDescent="0.6"/>
    <row r="393" ht="11.25" customHeight="1" x14ac:dyDescent="0.6"/>
    <row r="394" ht="11.25" customHeight="1" x14ac:dyDescent="0.6"/>
    <row r="395" ht="11.25" customHeight="1" x14ac:dyDescent="0.6"/>
    <row r="396" ht="11.25" customHeight="1" x14ac:dyDescent="0.6"/>
    <row r="397" ht="11.25" customHeight="1" x14ac:dyDescent="0.6"/>
    <row r="398" ht="11.25" customHeight="1" x14ac:dyDescent="0.6"/>
    <row r="399" ht="11.25" customHeight="1" x14ac:dyDescent="0.6"/>
    <row r="400" ht="11.25" customHeight="1" x14ac:dyDescent="0.6"/>
    <row r="401" ht="11.25" customHeight="1" x14ac:dyDescent="0.6"/>
    <row r="402" ht="11.25" customHeight="1" x14ac:dyDescent="0.6"/>
    <row r="403" ht="11.25" customHeight="1" x14ac:dyDescent="0.6"/>
    <row r="404" ht="11.25" customHeight="1" x14ac:dyDescent="0.6"/>
    <row r="405" ht="11.25" customHeight="1" x14ac:dyDescent="0.6"/>
    <row r="406" ht="11.25" customHeight="1" x14ac:dyDescent="0.6"/>
    <row r="407" ht="11.25" customHeight="1" x14ac:dyDescent="0.6"/>
    <row r="408" ht="11.25" customHeight="1" x14ac:dyDescent="0.6"/>
    <row r="409" ht="11.25" customHeight="1" x14ac:dyDescent="0.6"/>
    <row r="410" ht="11.25" customHeight="1" x14ac:dyDescent="0.6"/>
    <row r="411" ht="11.25" customHeight="1" x14ac:dyDescent="0.6"/>
    <row r="412" ht="11.25" customHeight="1" x14ac:dyDescent="0.6"/>
    <row r="413" ht="11.25" customHeight="1" x14ac:dyDescent="0.6"/>
    <row r="414" ht="11.25" customHeight="1" x14ac:dyDescent="0.6"/>
    <row r="415" ht="11.25" customHeight="1" x14ac:dyDescent="0.6"/>
    <row r="416" ht="11.25" customHeight="1" x14ac:dyDescent="0.6"/>
    <row r="417" ht="11.25" customHeight="1" x14ac:dyDescent="0.6"/>
    <row r="418" ht="11.25" customHeight="1" x14ac:dyDescent="0.6"/>
    <row r="419" ht="11.25" customHeight="1" x14ac:dyDescent="0.6"/>
    <row r="420" ht="11.25" customHeight="1" x14ac:dyDescent="0.6"/>
    <row r="421" ht="11.25" customHeight="1" x14ac:dyDescent="0.6"/>
    <row r="422" ht="11.25" customHeight="1" x14ac:dyDescent="0.6"/>
    <row r="423" ht="11.25" customHeight="1" x14ac:dyDescent="0.6"/>
    <row r="424" ht="11.25" customHeight="1" x14ac:dyDescent="0.6"/>
    <row r="425" ht="11.25" customHeight="1" x14ac:dyDescent="0.6"/>
    <row r="426" ht="11.25" customHeight="1" x14ac:dyDescent="0.6"/>
    <row r="427" ht="11.25" customHeight="1" x14ac:dyDescent="0.6"/>
    <row r="428" ht="11.25" customHeight="1" x14ac:dyDescent="0.6"/>
    <row r="429" ht="11.25" customHeight="1" x14ac:dyDescent="0.6"/>
    <row r="430" ht="11.25" customHeight="1" x14ac:dyDescent="0.6"/>
    <row r="431" ht="11.25" customHeight="1" x14ac:dyDescent="0.6"/>
    <row r="432" ht="11.25" customHeight="1" x14ac:dyDescent="0.6"/>
    <row r="433" ht="11.25" customHeight="1" x14ac:dyDescent="0.6"/>
    <row r="434" ht="11.25" customHeight="1" x14ac:dyDescent="0.6"/>
    <row r="435" ht="11.25" customHeight="1" x14ac:dyDescent="0.6"/>
    <row r="436" ht="11.25" customHeight="1" x14ac:dyDescent="0.6"/>
    <row r="437" ht="11.25" customHeight="1" x14ac:dyDescent="0.6"/>
    <row r="438" ht="11.25" customHeight="1" x14ac:dyDescent="0.6"/>
    <row r="439" ht="11.25" customHeight="1" x14ac:dyDescent="0.6"/>
    <row r="440" ht="11.25" customHeight="1" x14ac:dyDescent="0.6"/>
    <row r="441" ht="11.25" customHeight="1" x14ac:dyDescent="0.6"/>
    <row r="442" ht="11.25" customHeight="1" x14ac:dyDescent="0.6"/>
    <row r="443" ht="11.25" customHeight="1" x14ac:dyDescent="0.6"/>
    <row r="444" ht="11.25" customHeight="1" x14ac:dyDescent="0.6"/>
    <row r="445" ht="11.25" customHeight="1" x14ac:dyDescent="0.6"/>
    <row r="446" ht="11.25" customHeight="1" x14ac:dyDescent="0.6"/>
    <row r="447" ht="11.25" customHeight="1" x14ac:dyDescent="0.6"/>
    <row r="448" ht="11.25" customHeight="1" x14ac:dyDescent="0.6"/>
    <row r="449" ht="11.25" customHeight="1" x14ac:dyDescent="0.6"/>
    <row r="450" ht="11.25" customHeight="1" x14ac:dyDescent="0.6"/>
    <row r="451" ht="11.25" customHeight="1" x14ac:dyDescent="0.6"/>
    <row r="452" ht="11.25" customHeight="1" x14ac:dyDescent="0.6"/>
    <row r="453" ht="11.25" customHeight="1" x14ac:dyDescent="0.6"/>
    <row r="454" ht="11.25" customHeight="1" x14ac:dyDescent="0.6"/>
    <row r="455" ht="11.25" customHeight="1" x14ac:dyDescent="0.6"/>
    <row r="456" ht="11.25" customHeight="1" x14ac:dyDescent="0.6"/>
    <row r="457" ht="11.25" customHeight="1" x14ac:dyDescent="0.6"/>
    <row r="458" ht="11.25" customHeight="1" x14ac:dyDescent="0.6"/>
    <row r="459" ht="11.25" customHeight="1" x14ac:dyDescent="0.6"/>
    <row r="460" ht="11.25" customHeight="1" x14ac:dyDescent="0.6"/>
    <row r="461" ht="11.25" customHeight="1" x14ac:dyDescent="0.6"/>
    <row r="462" ht="11.25" customHeight="1" x14ac:dyDescent="0.6"/>
    <row r="463" ht="11.25" customHeight="1" x14ac:dyDescent="0.6"/>
    <row r="464" ht="11.25" customHeight="1" x14ac:dyDescent="0.6"/>
    <row r="465" ht="11.25" customHeight="1" x14ac:dyDescent="0.6"/>
    <row r="466" ht="11.25" customHeight="1" x14ac:dyDescent="0.6"/>
    <row r="467" ht="11.25" customHeight="1" x14ac:dyDescent="0.6"/>
    <row r="468" ht="11.25" customHeight="1" x14ac:dyDescent="0.6"/>
    <row r="469" ht="11.25" customHeight="1" x14ac:dyDescent="0.6"/>
    <row r="470" ht="11.25" customHeight="1" x14ac:dyDescent="0.6"/>
    <row r="471" ht="11.25" customHeight="1" x14ac:dyDescent="0.6"/>
    <row r="472" ht="11.25" customHeight="1" x14ac:dyDescent="0.6"/>
    <row r="473" ht="11.25" customHeight="1" x14ac:dyDescent="0.6"/>
    <row r="474" ht="11.25" customHeight="1" x14ac:dyDescent="0.6"/>
    <row r="475" ht="11.25" customHeight="1" x14ac:dyDescent="0.6"/>
    <row r="476" ht="11.25" customHeight="1" x14ac:dyDescent="0.6"/>
    <row r="477" ht="11.25" customHeight="1" x14ac:dyDescent="0.6"/>
    <row r="478" ht="11.25" customHeight="1" x14ac:dyDescent="0.6"/>
    <row r="479" ht="11.25" customHeight="1" x14ac:dyDescent="0.6"/>
    <row r="480" ht="11.25" customHeight="1" x14ac:dyDescent="0.6"/>
    <row r="481" ht="11.25" customHeight="1" x14ac:dyDescent="0.6"/>
    <row r="482" ht="11.25" customHeight="1" x14ac:dyDescent="0.6"/>
    <row r="483" ht="11.25" customHeight="1" x14ac:dyDescent="0.6"/>
    <row r="484" ht="11.25" customHeight="1" x14ac:dyDescent="0.6"/>
    <row r="485" ht="11.25" customHeight="1" x14ac:dyDescent="0.6"/>
    <row r="486" ht="11.25" customHeight="1" x14ac:dyDescent="0.6"/>
    <row r="487" ht="11.25" customHeight="1" x14ac:dyDescent="0.6"/>
    <row r="488" ht="11.25" customHeight="1" x14ac:dyDescent="0.6"/>
    <row r="489" ht="11.25" customHeight="1" x14ac:dyDescent="0.6"/>
    <row r="490" ht="11.25" customHeight="1" x14ac:dyDescent="0.6"/>
    <row r="491" ht="11.25" customHeight="1" x14ac:dyDescent="0.6"/>
    <row r="492" ht="11.25" customHeight="1" x14ac:dyDescent="0.6"/>
    <row r="493" ht="11.25" customHeight="1" x14ac:dyDescent="0.6"/>
    <row r="494" ht="11.25" customHeight="1" x14ac:dyDescent="0.6"/>
    <row r="495" ht="11.25" customHeight="1" x14ac:dyDescent="0.6"/>
    <row r="496" ht="11.25" customHeight="1" x14ac:dyDescent="0.6"/>
    <row r="497" ht="11.25" customHeight="1" x14ac:dyDescent="0.6"/>
    <row r="498" ht="11.25" customHeight="1" x14ac:dyDescent="0.6"/>
    <row r="499" ht="11.25" customHeight="1" x14ac:dyDescent="0.6"/>
    <row r="500" ht="11.25" customHeight="1" x14ac:dyDescent="0.6"/>
    <row r="501" ht="11.25" customHeight="1" x14ac:dyDescent="0.6"/>
    <row r="502" ht="11.25" customHeight="1" x14ac:dyDescent="0.6"/>
    <row r="503" ht="11.25" customHeight="1" x14ac:dyDescent="0.6"/>
    <row r="504" ht="11.25" customHeight="1" x14ac:dyDescent="0.6"/>
    <row r="505" ht="11.25" customHeight="1" x14ac:dyDescent="0.6"/>
    <row r="506" ht="11.25" customHeight="1" x14ac:dyDescent="0.6"/>
    <row r="507" ht="11.25" customHeight="1" x14ac:dyDescent="0.6"/>
    <row r="508" ht="11.25" customHeight="1" x14ac:dyDescent="0.6"/>
    <row r="509" ht="11.25" customHeight="1" x14ac:dyDescent="0.6"/>
  </sheetData>
  <sheetProtection algorithmName="SHA-512" hashValue="C2iRbj7IBhAYv8CYTtmWtTLq8nwdlz04A0SNY2plOq8C9R9Rjq0FVpFCq109/Qg9NWzcNAMDoNaGGt+Wd5Mp3w==" saltValue="ZYiWrkKqIv3iS+oEpVXaLg==" spinCount="100000" sheet="1" objects="1" scenarios="1"/>
  <mergeCells count="23">
    <mergeCell ref="A76:A81"/>
    <mergeCell ref="A82:A87"/>
    <mergeCell ref="A88:A93"/>
    <mergeCell ref="A94:A99"/>
    <mergeCell ref="A124:A129"/>
    <mergeCell ref="A100:A105"/>
    <mergeCell ref="A106:A111"/>
    <mergeCell ref="A112:A117"/>
    <mergeCell ref="A118:A123"/>
    <mergeCell ref="A40:A45"/>
    <mergeCell ref="A4:A9"/>
    <mergeCell ref="A10:A15"/>
    <mergeCell ref="A52:A57"/>
    <mergeCell ref="A70:A75"/>
    <mergeCell ref="A22:A27"/>
    <mergeCell ref="A58:A63"/>
    <mergeCell ref="A64:A69"/>
    <mergeCell ref="A46:A51"/>
    <mergeCell ref="B2:Q2"/>
    <mergeCell ref="B1:Q1"/>
    <mergeCell ref="A16:A21"/>
    <mergeCell ref="A28:A33"/>
    <mergeCell ref="A34:A39"/>
  </mergeCells>
  <phoneticPr fontId="4" type="noConversion"/>
  <conditionalFormatting sqref="S17">
    <cfRule type="cellIs" dxfId="55" priority="5" operator="equal">
      <formula>24</formula>
    </cfRule>
    <cfRule type="cellIs" dxfId="54" priority="6" operator="equal">
      <formula>25</formula>
    </cfRule>
  </conditionalFormatting>
  <conditionalFormatting sqref="L4">
    <cfRule type="cellIs" dxfId="53" priority="3" operator="equal">
      <formula>24</formula>
    </cfRule>
    <cfRule type="cellIs" dxfId="52" priority="4" operator="equal">
      <formula>25</formula>
    </cfRule>
  </conditionalFormatting>
  <conditionalFormatting sqref="K21:M21 K4:N20 K22:N126 P4:P63">
    <cfRule type="containsText" dxfId="51" priority="2" operator="containsText" text="25">
      <formula>NOT(ISERROR(SEARCH("25",K4)))</formula>
    </cfRule>
  </conditionalFormatting>
  <conditionalFormatting sqref="K21:M21 K4:N20 K22:N126 P4:P63">
    <cfRule type="containsText" dxfId="50" priority="1" operator="containsText" text="24">
      <formula>NOT(ISERROR(SEARCH("24",K4)))</formula>
    </cfRule>
  </conditionalFormatting>
  <pageMargins left="0.25" right="0.25" top="0.75" bottom="0.75" header="0.3" footer="0.3"/>
  <pageSetup paperSize="9" scale="36" firstPageNumber="0" orientation="portrait" horizontalDpi="300" verticalDpi="300" r:id="rId1"/>
  <headerFooter alignWithMargins="0">
    <oddHeader>&amp;LTirada:             
__________________________
__________________________
                      &amp;RFecha:  4 - MARZO - 2018</oddHeader>
    <oddFooter>&amp;C Firma delegada federativa:</oddFooter>
  </headerFooter>
  <rowBreaks count="1" manualBreakCount="1">
    <brk id="63" max="16" man="1"/>
  </rowBreaks>
  <ignoredErrors>
    <ignoredError sqref="C4 C5 C6 C7:C11 C12 C13 C14 C36:C38 C18:C20 C15 C16:C17 C21 C22:C23 Q4 E4:J4 E5:J5 E6:J6 E12:J12 E14:J14 E15:J15 E21:J21 Q5 O6 O12:Q12 O14:Q14 O15:Q15 O21:Q21 Q6" numberStoredAsText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6F0F-9E79-4194-881A-898A8F77F42C}">
  <sheetPr codeName="Hoja4">
    <pageSetUpPr fitToPage="1"/>
  </sheetPr>
  <dimension ref="A1:M240"/>
  <sheetViews>
    <sheetView showGridLines="0" showZeros="0" tabSelected="1" zoomScale="145" zoomScaleNormal="145" workbookViewId="0">
      <selection activeCell="N18" sqref="N18"/>
    </sheetView>
  </sheetViews>
  <sheetFormatPr baseColWidth="10" defaultColWidth="11.42578125" defaultRowHeight="18" x14ac:dyDescent="0.2"/>
  <cols>
    <col min="1" max="1" width="6.28515625" style="74" customWidth="1"/>
    <col min="2" max="2" width="11.42578125" style="4" customWidth="1"/>
    <col min="3" max="3" width="45.5703125" style="80" customWidth="1"/>
    <col min="4" max="4" width="0.140625" style="4" hidden="1" customWidth="1"/>
    <col min="5" max="5" width="7.7109375" style="52" bestFit="1" customWidth="1"/>
    <col min="6" max="6" width="7" style="4" customWidth="1"/>
    <col min="7" max="7" width="6.5703125" style="4" customWidth="1"/>
    <col min="8" max="10" width="5.5703125" style="4" bestFit="1" customWidth="1"/>
    <col min="11" max="11" width="9" style="4" customWidth="1"/>
    <col min="12" max="12" width="6.42578125" style="4" hidden="1" customWidth="1"/>
    <col min="13" max="13" width="9.7109375" style="80" hidden="1" customWidth="1"/>
    <col min="14" max="16384" width="11.42578125" style="75"/>
  </cols>
  <sheetData>
    <row r="1" spans="1:13" ht="4.5" customHeight="1" x14ac:dyDescent="0.2">
      <c r="A1" s="110"/>
      <c r="B1" s="111"/>
      <c r="C1" s="96"/>
      <c r="D1" s="97"/>
      <c r="E1" s="98"/>
      <c r="F1" s="111"/>
      <c r="G1" s="111"/>
      <c r="H1" s="111"/>
      <c r="I1" s="111"/>
      <c r="J1" s="111"/>
      <c r="K1" s="111"/>
      <c r="L1" s="111" t="s">
        <v>495</v>
      </c>
      <c r="M1" s="114"/>
    </row>
    <row r="2" spans="1:13" s="76" customFormat="1" ht="51" customHeight="1" x14ac:dyDescent="0.2">
      <c r="A2" s="110"/>
      <c r="B2" s="112" t="s">
        <v>415</v>
      </c>
      <c r="C2" s="91" t="s">
        <v>113</v>
      </c>
      <c r="D2" s="92" t="s">
        <v>416</v>
      </c>
      <c r="E2" s="99" t="s">
        <v>117</v>
      </c>
      <c r="F2" s="115" t="s">
        <v>417</v>
      </c>
      <c r="G2" s="115" t="s">
        <v>418</v>
      </c>
      <c r="H2" s="115" t="s">
        <v>419</v>
      </c>
      <c r="I2" s="115" t="s">
        <v>420</v>
      </c>
      <c r="J2" s="115" t="s">
        <v>421</v>
      </c>
      <c r="K2" s="115" t="s">
        <v>422</v>
      </c>
      <c r="L2" s="116" t="s">
        <v>423</v>
      </c>
      <c r="M2" s="115" t="s">
        <v>424</v>
      </c>
    </row>
    <row r="3" spans="1:13" ht="51" customHeight="1" x14ac:dyDescent="0.2">
      <c r="A3" s="110"/>
      <c r="B3" s="113"/>
      <c r="C3" s="93"/>
      <c r="D3" s="94"/>
      <c r="E3" s="95"/>
      <c r="F3" s="117"/>
      <c r="G3" s="117"/>
      <c r="H3" s="117"/>
      <c r="I3" s="117"/>
      <c r="J3" s="117"/>
      <c r="K3" s="117"/>
      <c r="L3" s="117"/>
      <c r="M3" s="118"/>
    </row>
    <row r="4" spans="1:13" ht="3" customHeight="1" x14ac:dyDescent="0.2">
      <c r="A4" s="110"/>
      <c r="B4" s="111"/>
      <c r="C4" s="96"/>
      <c r="D4" s="97"/>
      <c r="E4" s="98"/>
      <c r="F4" s="111"/>
      <c r="G4" s="111"/>
      <c r="H4" s="111"/>
      <c r="I4" s="111"/>
      <c r="J4" s="111"/>
      <c r="K4" s="111"/>
      <c r="L4" s="111"/>
      <c r="M4" s="114"/>
    </row>
    <row r="5" spans="1:13" s="74" customFormat="1" ht="45.75" customHeight="1" x14ac:dyDescent="0.2">
      <c r="A5" s="77"/>
      <c r="B5" s="81" t="s">
        <v>415</v>
      </c>
      <c r="C5" s="82" t="s">
        <v>113</v>
      </c>
      <c r="D5" s="83" t="s">
        <v>416</v>
      </c>
      <c r="E5" s="85" t="s">
        <v>117</v>
      </c>
      <c r="F5" s="83" t="s">
        <v>417</v>
      </c>
      <c r="G5" s="83" t="s">
        <v>418</v>
      </c>
      <c r="H5" s="83" t="s">
        <v>419</v>
      </c>
      <c r="I5" s="83" t="s">
        <v>420</v>
      </c>
      <c r="J5" s="83" t="s">
        <v>421</v>
      </c>
      <c r="K5" s="83" t="s">
        <v>422</v>
      </c>
      <c r="L5" s="161" t="s">
        <v>423</v>
      </c>
      <c r="M5" s="83" t="s">
        <v>424</v>
      </c>
    </row>
    <row r="6" spans="1:13" x14ac:dyDescent="0.2">
      <c r="A6" s="77">
        <v>1</v>
      </c>
      <c r="B6" s="60" t="str">
        <f>INSCRIPCIONES!C11</f>
        <v>008</v>
      </c>
      <c r="C6" s="84" t="str">
        <f>INSCRIPCIONES!E11</f>
        <v>Julio Jimenez Alvarez</v>
      </c>
      <c r="D6" s="66" t="str">
        <f>INSCRIPCIONES!G11</f>
        <v>SG</v>
      </c>
      <c r="E6" s="66">
        <f>INSCRIPCIONES!I11</f>
        <v>1</v>
      </c>
      <c r="F6" s="66" t="str">
        <f>INSCRIPCIONES!J11</f>
        <v>SR</v>
      </c>
      <c r="G6" s="66">
        <f>INSCRIPCIONES!K11</f>
        <v>23</v>
      </c>
      <c r="H6" s="66">
        <f>INSCRIPCIONES!L11</f>
        <v>24</v>
      </c>
      <c r="I6" s="66">
        <f>INSCRIPCIONES!M11</f>
        <v>25</v>
      </c>
      <c r="J6" s="66">
        <f>INSCRIPCIONES!N11</f>
        <v>24</v>
      </c>
      <c r="K6" s="66">
        <f>INSCRIPCIONES!O11</f>
        <v>96</v>
      </c>
      <c r="L6" s="84">
        <f>INSCRIPCIONES!P11</f>
        <v>0</v>
      </c>
      <c r="M6" s="84">
        <f>SUM(TClasificacion[[#This Row],[TOTAL]:[SHOOT OFF]])</f>
        <v>96</v>
      </c>
    </row>
    <row r="7" spans="1:13" x14ac:dyDescent="0.2">
      <c r="A7" s="77">
        <v>2</v>
      </c>
      <c r="B7" s="60" t="str">
        <f>INSCRIPCIONES!C17</f>
        <v>014</v>
      </c>
      <c r="C7" s="84" t="str">
        <f>INSCRIPCIONES!E17</f>
        <v>Esteban Lopez</v>
      </c>
      <c r="D7" s="66" t="str">
        <f>INSCRIPCIONES!G17</f>
        <v>BI</v>
      </c>
      <c r="E7" s="66">
        <f>INSCRIPCIONES!I17</f>
        <v>2</v>
      </c>
      <c r="F7" s="66" t="str">
        <f>INSCRIPCIONES!J17</f>
        <v>SR</v>
      </c>
      <c r="G7" s="66">
        <f>INSCRIPCIONES!K17</f>
        <v>24</v>
      </c>
      <c r="H7" s="66">
        <f>INSCRIPCIONES!L17</f>
        <v>24</v>
      </c>
      <c r="I7" s="66">
        <f>INSCRIPCIONES!M17</f>
        <v>22</v>
      </c>
      <c r="J7" s="66">
        <f>INSCRIPCIONES!N17</f>
        <v>25</v>
      </c>
      <c r="K7" s="66">
        <f>INSCRIPCIONES!O17</f>
        <v>95</v>
      </c>
      <c r="L7" s="84">
        <f>INSCRIPCIONES!P17</f>
        <v>0</v>
      </c>
      <c r="M7" s="84">
        <f>SUM(TClasificacion[[#This Row],[TOTAL]:[SHOOT OFF]])</f>
        <v>95</v>
      </c>
    </row>
    <row r="8" spans="1:13" x14ac:dyDescent="0.2">
      <c r="A8" s="77">
        <v>3</v>
      </c>
      <c r="B8" s="60" t="str">
        <f>INSCRIPCIONES!C12</f>
        <v>009</v>
      </c>
      <c r="C8" s="84" t="str">
        <f>INSCRIPCIONES!E12</f>
        <v xml:space="preserve">Gregorio Fuentes Manzano </v>
      </c>
      <c r="D8" s="66" t="str">
        <f>INSCRIPCIONES!G12</f>
        <v>M</v>
      </c>
      <c r="E8" s="66">
        <f>INSCRIPCIONES!I12</f>
        <v>1</v>
      </c>
      <c r="F8" s="66" t="str">
        <f>INSCRIPCIONES!J12</f>
        <v>SR</v>
      </c>
      <c r="G8" s="66">
        <f>INSCRIPCIONES!K12</f>
        <v>25</v>
      </c>
      <c r="H8" s="66">
        <f>INSCRIPCIONES!L12</f>
        <v>23</v>
      </c>
      <c r="I8" s="66">
        <f>INSCRIPCIONES!M12</f>
        <v>23</v>
      </c>
      <c r="J8" s="66">
        <f>INSCRIPCIONES!N12</f>
        <v>24</v>
      </c>
      <c r="K8" s="66">
        <f>INSCRIPCIONES!O12</f>
        <v>95</v>
      </c>
      <c r="L8" s="84">
        <f>INSCRIPCIONES!P12</f>
        <v>0</v>
      </c>
      <c r="M8" s="84">
        <f>SUM(TClasificacion[[#This Row],[TOTAL]:[SHOOT OFF]])</f>
        <v>95</v>
      </c>
    </row>
    <row r="9" spans="1:13" x14ac:dyDescent="0.2">
      <c r="A9" s="77">
        <v>4</v>
      </c>
      <c r="B9" s="60" t="str">
        <f>INSCRIPCIONES!C10</f>
        <v>007</v>
      </c>
      <c r="C9" s="84" t="str">
        <f>INSCRIPCIONES!E10</f>
        <v>Pascual Pacheco Pacheco</v>
      </c>
      <c r="D9" s="66" t="str">
        <f>INSCRIPCIONES!G10</f>
        <v>SG</v>
      </c>
      <c r="E9" s="66">
        <f>INSCRIPCIONES!I10</f>
        <v>1</v>
      </c>
      <c r="F9" s="66" t="str">
        <f>INSCRIPCIONES!J10</f>
        <v>SR</v>
      </c>
      <c r="G9" s="66">
        <f>INSCRIPCIONES!K10</f>
        <v>24</v>
      </c>
      <c r="H9" s="66">
        <f>INSCRIPCIONES!L10</f>
        <v>24</v>
      </c>
      <c r="I9" s="66">
        <f>INSCRIPCIONES!M10</f>
        <v>21</v>
      </c>
      <c r="J9" s="66">
        <f>INSCRIPCIONES!N10</f>
        <v>25</v>
      </c>
      <c r="K9" s="66">
        <f>INSCRIPCIONES!O10</f>
        <v>94</v>
      </c>
      <c r="L9" s="84">
        <f>INSCRIPCIONES!P10</f>
        <v>0</v>
      </c>
      <c r="M9" s="84">
        <f>SUM(TClasificacion[[#This Row],[TOTAL]:[SHOOT OFF]])</f>
        <v>94</v>
      </c>
    </row>
    <row r="10" spans="1:13" x14ac:dyDescent="0.2">
      <c r="A10" s="77">
        <v>5</v>
      </c>
      <c r="B10" s="60" t="str">
        <f>INSCRIPCIONES!C26</f>
        <v>023</v>
      </c>
      <c r="C10" s="84" t="str">
        <f>INSCRIPCIONES!E26</f>
        <v>Nicolas Velasco Perez</v>
      </c>
      <c r="D10" s="66" t="str">
        <f>INSCRIPCIONES!G26</f>
        <v>BU</v>
      </c>
      <c r="E10" s="66">
        <f>INSCRIPCIONES!I26</f>
        <v>4</v>
      </c>
      <c r="F10" s="66" t="str">
        <f>INSCRIPCIONES!J26</f>
        <v>SR</v>
      </c>
      <c r="G10" s="66">
        <f>INSCRIPCIONES!K26</f>
        <v>23</v>
      </c>
      <c r="H10" s="66">
        <f>INSCRIPCIONES!L26</f>
        <v>23</v>
      </c>
      <c r="I10" s="66">
        <f>INSCRIPCIONES!M26</f>
        <v>24</v>
      </c>
      <c r="J10" s="66">
        <f>INSCRIPCIONES!N26</f>
        <v>24</v>
      </c>
      <c r="K10" s="66">
        <f>INSCRIPCIONES!O26</f>
        <v>94</v>
      </c>
      <c r="L10" s="84">
        <f>INSCRIPCIONES!P26</f>
        <v>0</v>
      </c>
      <c r="M10" s="84">
        <f>SUM(TClasificacion[[#This Row],[TOTAL]:[SHOOT OFF]])</f>
        <v>94</v>
      </c>
    </row>
    <row r="11" spans="1:13" x14ac:dyDescent="0.2">
      <c r="A11" s="77">
        <v>6</v>
      </c>
      <c r="B11" s="60" t="str">
        <f>INSCRIPCIONES!C22</f>
        <v>019</v>
      </c>
      <c r="C11" s="84" t="str">
        <f>INSCRIPCIONES!E22</f>
        <v>Jose Luis Miguel "BILLI"</v>
      </c>
      <c r="D11" s="66" t="str">
        <f>INSCRIPCIONES!G22</f>
        <v>SG</v>
      </c>
      <c r="E11" s="66">
        <f>INSCRIPCIONES!I22</f>
        <v>2</v>
      </c>
      <c r="F11" s="66" t="str">
        <f>INSCRIPCIONES!J22</f>
        <v>SR</v>
      </c>
      <c r="G11" s="66">
        <f>INSCRIPCIONES!K22</f>
        <v>25</v>
      </c>
      <c r="H11" s="66">
        <f>INSCRIPCIONES!L22</f>
        <v>23</v>
      </c>
      <c r="I11" s="66">
        <f>INSCRIPCIONES!M22</f>
        <v>24</v>
      </c>
      <c r="J11" s="66">
        <f>INSCRIPCIONES!N22</f>
        <v>22</v>
      </c>
      <c r="K11" s="66">
        <f>INSCRIPCIONES!O22</f>
        <v>94</v>
      </c>
      <c r="L11" s="84">
        <f>INSCRIPCIONES!P22</f>
        <v>0</v>
      </c>
      <c r="M11" s="84">
        <f>SUM(TClasificacion[[#This Row],[TOTAL]:[SHOOT OFF]])</f>
        <v>94</v>
      </c>
    </row>
    <row r="12" spans="1:13" x14ac:dyDescent="0.2">
      <c r="A12" s="77">
        <v>7</v>
      </c>
      <c r="B12" s="60" t="str">
        <f>INSCRIPCIONES!C15</f>
        <v>012</v>
      </c>
      <c r="C12" s="84" t="str">
        <f>INSCRIPCIONES!E15</f>
        <v>Julian Ochoa Bartolome</v>
      </c>
      <c r="D12" s="66" t="str">
        <f>INSCRIPCIONES!G15</f>
        <v>BU</v>
      </c>
      <c r="E12" s="66">
        <f>INSCRIPCIONES!I15</f>
        <v>2</v>
      </c>
      <c r="F12" s="66" t="str">
        <f>INSCRIPCIONES!J15</f>
        <v>SR</v>
      </c>
      <c r="G12" s="66">
        <f>INSCRIPCIONES!K15</f>
        <v>23</v>
      </c>
      <c r="H12" s="66">
        <f>INSCRIPCIONES!L15</f>
        <v>23</v>
      </c>
      <c r="I12" s="66">
        <f>INSCRIPCIONES!M15</f>
        <v>22</v>
      </c>
      <c r="J12" s="66">
        <f>INSCRIPCIONES!N15</f>
        <v>25</v>
      </c>
      <c r="K12" s="66">
        <f>INSCRIPCIONES!O15</f>
        <v>93</v>
      </c>
      <c r="L12" s="84">
        <f>INSCRIPCIONES!P15</f>
        <v>0</v>
      </c>
      <c r="M12" s="84">
        <f>SUM(TClasificacion[[#This Row],[TOTAL]:[SHOOT OFF]])</f>
        <v>93</v>
      </c>
    </row>
    <row r="13" spans="1:13" x14ac:dyDescent="0.2">
      <c r="A13" s="77">
        <v>8</v>
      </c>
      <c r="B13" s="60" t="str">
        <f>INSCRIPCIONES!C6</f>
        <v>003</v>
      </c>
      <c r="C13" s="84" t="str">
        <f>INSCRIPCIONES!E6</f>
        <v>Mariano Pardo Gonzalez</v>
      </c>
      <c r="D13" s="66" t="str">
        <f>INSCRIPCIONES!G6</f>
        <v>BU</v>
      </c>
      <c r="E13" s="66">
        <f>INSCRIPCIONES!I6</f>
        <v>1</v>
      </c>
      <c r="F13" s="66" t="str">
        <f>INSCRIPCIONES!J6</f>
        <v>SR</v>
      </c>
      <c r="G13" s="66">
        <f>INSCRIPCIONES!K6</f>
        <v>25</v>
      </c>
      <c r="H13" s="66">
        <f>INSCRIPCIONES!L6</f>
        <v>25</v>
      </c>
      <c r="I13" s="66">
        <f>INSCRIPCIONES!M6</f>
        <v>21</v>
      </c>
      <c r="J13" s="66">
        <f>INSCRIPCIONES!N6</f>
        <v>22</v>
      </c>
      <c r="K13" s="66">
        <f>INSCRIPCIONES!O6</f>
        <v>93</v>
      </c>
      <c r="L13" s="84">
        <f>INSCRIPCIONES!P6</f>
        <v>0</v>
      </c>
      <c r="M13" s="84">
        <f>SUM(TClasificacion[[#This Row],[TOTAL]:[SHOOT OFF]])</f>
        <v>93</v>
      </c>
    </row>
    <row r="14" spans="1:13" x14ac:dyDescent="0.2">
      <c r="A14" s="77">
        <v>9</v>
      </c>
      <c r="B14" s="60" t="str">
        <f>INSCRIPCIONES!C51</f>
        <v>048</v>
      </c>
      <c r="C14" s="84" t="str">
        <f>INSCRIPCIONES!E51</f>
        <v>Felipe Marina Gañan</v>
      </c>
      <c r="D14" s="66" t="str">
        <f>INSCRIPCIONES!G51</f>
        <v>NA</v>
      </c>
      <c r="E14" s="66">
        <f>INSCRIPCIONES!I51</f>
        <v>1</v>
      </c>
      <c r="F14" s="66" t="str">
        <f>INSCRIPCIONES!J51</f>
        <v>SR</v>
      </c>
      <c r="G14" s="66">
        <f>INSCRIPCIONES!K51</f>
        <v>23</v>
      </c>
      <c r="H14" s="66">
        <f>INSCRIPCIONES!L51</f>
        <v>22</v>
      </c>
      <c r="I14" s="66">
        <f>INSCRIPCIONES!M51</f>
        <v>24</v>
      </c>
      <c r="J14" s="66">
        <f>INSCRIPCIONES!N51</f>
        <v>23</v>
      </c>
      <c r="K14" s="66">
        <f>INSCRIPCIONES!O51</f>
        <v>92</v>
      </c>
      <c r="L14" s="84">
        <f>INSCRIPCIONES!P51</f>
        <v>0</v>
      </c>
      <c r="M14" s="84">
        <f>SUM(TClasificacion[[#This Row],[TOTAL]:[SHOOT OFF]])</f>
        <v>92</v>
      </c>
    </row>
    <row r="15" spans="1:13" x14ac:dyDescent="0.2">
      <c r="A15" s="77">
        <v>10</v>
      </c>
      <c r="B15" s="60" t="str">
        <f>INSCRIPCIONES!C18</f>
        <v>015</v>
      </c>
      <c r="C15" s="84" t="str">
        <f>INSCRIPCIONES!E18</f>
        <v>Enrique Ruiz Ruiz</v>
      </c>
      <c r="D15" s="66" t="str">
        <f>INSCRIPCIONES!G18</f>
        <v>BI</v>
      </c>
      <c r="E15" s="66">
        <f>INSCRIPCIONES!I18</f>
        <v>2</v>
      </c>
      <c r="F15" s="66" t="str">
        <f>INSCRIPCIONES!J18</f>
        <v>SR</v>
      </c>
      <c r="G15" s="66">
        <f>INSCRIPCIONES!K18</f>
        <v>23</v>
      </c>
      <c r="H15" s="66">
        <f>INSCRIPCIONES!L18</f>
        <v>21</v>
      </c>
      <c r="I15" s="66">
        <f>INSCRIPCIONES!M18</f>
        <v>24</v>
      </c>
      <c r="J15" s="66">
        <f>INSCRIPCIONES!N18</f>
        <v>23</v>
      </c>
      <c r="K15" s="66">
        <f>INSCRIPCIONES!O18</f>
        <v>91</v>
      </c>
      <c r="L15" s="84">
        <f>INSCRIPCIONES!P18</f>
        <v>0</v>
      </c>
      <c r="M15" s="84">
        <f>SUM(TClasificacion[[#This Row],[TOTAL]:[SHOOT OFF]])</f>
        <v>91</v>
      </c>
    </row>
    <row r="16" spans="1:13" x14ac:dyDescent="0.2">
      <c r="A16" s="77">
        <v>11</v>
      </c>
      <c r="B16" s="60" t="str">
        <f>INSCRIPCIONES!C20</f>
        <v>017</v>
      </c>
      <c r="C16" s="84" t="str">
        <f>INSCRIPCIONES!E20</f>
        <v>Javier Echevarria</v>
      </c>
      <c r="D16" s="66" t="str">
        <f>INSCRIPCIONES!G20</f>
        <v>BI</v>
      </c>
      <c r="E16" s="66">
        <f>INSCRIPCIONES!I20</f>
        <v>2</v>
      </c>
      <c r="F16" s="66" t="str">
        <f>INSCRIPCIONES!J20</f>
        <v>SR</v>
      </c>
      <c r="G16" s="66">
        <f>INSCRIPCIONES!K20</f>
        <v>23</v>
      </c>
      <c r="H16" s="66">
        <f>INSCRIPCIONES!L20</f>
        <v>22</v>
      </c>
      <c r="I16" s="66">
        <f>INSCRIPCIONES!M20</f>
        <v>24</v>
      </c>
      <c r="J16" s="66">
        <f>INSCRIPCIONES!N20</f>
        <v>22</v>
      </c>
      <c r="K16" s="66">
        <f>INSCRIPCIONES!O20</f>
        <v>91</v>
      </c>
      <c r="L16" s="84">
        <f>INSCRIPCIONES!P20</f>
        <v>0</v>
      </c>
      <c r="M16" s="84">
        <f>SUM(TClasificacion[[#This Row],[TOTAL]:[SHOOT OFF]])</f>
        <v>91</v>
      </c>
    </row>
    <row r="17" spans="1:13" x14ac:dyDescent="0.2">
      <c r="A17" s="77">
        <v>12</v>
      </c>
      <c r="B17" s="60" t="str">
        <f>INSCRIPCIONES!C33</f>
        <v>030</v>
      </c>
      <c r="C17" s="84" t="str">
        <f>INSCRIPCIONES!E33</f>
        <v>Fernando Arribas</v>
      </c>
      <c r="D17" s="66" t="str">
        <f>INSCRIPCIONES!G33</f>
        <v>SO</v>
      </c>
      <c r="E17" s="66">
        <f>INSCRIPCIONES!I33</f>
        <v>2</v>
      </c>
      <c r="F17" s="66" t="str">
        <f>INSCRIPCIONES!J33</f>
        <v>SR</v>
      </c>
      <c r="G17" s="66">
        <f>INSCRIPCIONES!K33</f>
        <v>23</v>
      </c>
      <c r="H17" s="66">
        <f>INSCRIPCIONES!L33</f>
        <v>23</v>
      </c>
      <c r="I17" s="66">
        <f>INSCRIPCIONES!M33</f>
        <v>23</v>
      </c>
      <c r="J17" s="66">
        <f>INSCRIPCIONES!N33</f>
        <v>22</v>
      </c>
      <c r="K17" s="66">
        <f>INSCRIPCIONES!O33</f>
        <v>91</v>
      </c>
      <c r="L17" s="84">
        <f>INSCRIPCIONES!P33</f>
        <v>0</v>
      </c>
      <c r="M17" s="84">
        <f>SUM(TClasificacion[[#This Row],[TOTAL]:[SHOOT OFF]])</f>
        <v>91</v>
      </c>
    </row>
    <row r="18" spans="1:13" x14ac:dyDescent="0.2">
      <c r="A18" s="77">
        <v>13</v>
      </c>
      <c r="B18" s="60" t="str">
        <f>INSCRIPCIONES!C21</f>
        <v>018</v>
      </c>
      <c r="C18" s="84" t="str">
        <f>INSCRIPCIONES!E21</f>
        <v>Jose Luis Beitia Goicolea</v>
      </c>
      <c r="D18" s="66" t="str">
        <f>INSCRIPCIONES!G21</f>
        <v>BI</v>
      </c>
      <c r="E18" s="66">
        <f>INSCRIPCIONES!I21</f>
        <v>2</v>
      </c>
      <c r="F18" s="66" t="str">
        <f>INSCRIPCIONES!J21</f>
        <v>SR</v>
      </c>
      <c r="G18" s="66">
        <f>INSCRIPCIONES!K21</f>
        <v>22</v>
      </c>
      <c r="H18" s="66">
        <f>INSCRIPCIONES!L21</f>
        <v>20</v>
      </c>
      <c r="I18" s="66">
        <f>INSCRIPCIONES!M21</f>
        <v>24</v>
      </c>
      <c r="J18" s="66">
        <f>INSCRIPCIONES!N21</f>
        <v>24</v>
      </c>
      <c r="K18" s="66">
        <f>INSCRIPCIONES!O21</f>
        <v>90</v>
      </c>
      <c r="L18" s="84">
        <f>INSCRIPCIONES!P21</f>
        <v>0</v>
      </c>
      <c r="M18" s="84">
        <f>SUM(TClasificacion[[#This Row],[TOTAL]:[SHOOT OFF]])</f>
        <v>90</v>
      </c>
    </row>
    <row r="19" spans="1:13" x14ac:dyDescent="0.2">
      <c r="A19" s="77">
        <v>14</v>
      </c>
      <c r="B19" s="60" t="str">
        <f>INSCRIPCIONES!C28</f>
        <v>025</v>
      </c>
      <c r="C19" s="84" t="str">
        <f>INSCRIPCIONES!E28</f>
        <v>Angel Alfonso Asensio</v>
      </c>
      <c r="D19" s="66" t="str">
        <f>INSCRIPCIONES!G28</f>
        <v>VA</v>
      </c>
      <c r="E19" s="66">
        <f>INSCRIPCIONES!I28</f>
        <v>1</v>
      </c>
      <c r="F19" s="66" t="str">
        <f>INSCRIPCIONES!J28</f>
        <v>VET</v>
      </c>
      <c r="G19" s="66">
        <f>INSCRIPCIONES!K28</f>
        <v>23</v>
      </c>
      <c r="H19" s="66">
        <f>INSCRIPCIONES!L28</f>
        <v>23</v>
      </c>
      <c r="I19" s="66">
        <f>INSCRIPCIONES!M28</f>
        <v>19</v>
      </c>
      <c r="J19" s="66">
        <f>INSCRIPCIONES!N28</f>
        <v>24</v>
      </c>
      <c r="K19" s="66">
        <f>INSCRIPCIONES!O28</f>
        <v>89</v>
      </c>
      <c r="L19" s="84">
        <f>INSCRIPCIONES!P28</f>
        <v>0</v>
      </c>
      <c r="M19" s="84">
        <f>SUM(TClasificacion[[#This Row],[TOTAL]:[SHOOT OFF]])</f>
        <v>89</v>
      </c>
    </row>
    <row r="20" spans="1:13" x14ac:dyDescent="0.2">
      <c r="A20" s="77">
        <v>15</v>
      </c>
      <c r="B20" s="60" t="str">
        <f>INSCRIPCIONES!C19</f>
        <v>016</v>
      </c>
      <c r="C20" s="84" t="str">
        <f>INSCRIPCIONES!E19</f>
        <v>Galder Garcia Astigarraga</v>
      </c>
      <c r="D20" s="66" t="str">
        <f>INSCRIPCIONES!G19</f>
        <v>BI</v>
      </c>
      <c r="E20" s="66">
        <f>INSCRIPCIONES!I19</f>
        <v>3</v>
      </c>
      <c r="F20" s="66" t="str">
        <f>INSCRIPCIONES!J19</f>
        <v>JR</v>
      </c>
      <c r="G20" s="66">
        <f>INSCRIPCIONES!K19</f>
        <v>21</v>
      </c>
      <c r="H20" s="66">
        <f>INSCRIPCIONES!L19</f>
        <v>23</v>
      </c>
      <c r="I20" s="66">
        <f>INSCRIPCIONES!M19</f>
        <v>23</v>
      </c>
      <c r="J20" s="66">
        <f>INSCRIPCIONES!N19</f>
        <v>22</v>
      </c>
      <c r="K20" s="66">
        <f>INSCRIPCIONES!O19</f>
        <v>89</v>
      </c>
      <c r="L20" s="84">
        <f>INSCRIPCIONES!P19</f>
        <v>0</v>
      </c>
      <c r="M20" s="84">
        <f>SUM(TClasificacion[[#This Row],[TOTAL]:[SHOOT OFF]])</f>
        <v>89</v>
      </c>
    </row>
    <row r="21" spans="1:13" x14ac:dyDescent="0.2">
      <c r="A21" s="77">
        <v>16</v>
      </c>
      <c r="B21" s="60" t="str">
        <f>INSCRIPCIONES!C43</f>
        <v>040</v>
      </c>
      <c r="C21" s="84" t="str">
        <f>INSCRIPCIONES!E43</f>
        <v>Guillermo Velasco Gonzalez</v>
      </c>
      <c r="D21" s="66" t="str">
        <f>INSCRIPCIONES!G43</f>
        <v>BU</v>
      </c>
      <c r="E21" s="66">
        <f>INSCRIPCIONES!I43</f>
        <v>4</v>
      </c>
      <c r="F21" s="66" t="str">
        <f>INSCRIPCIONES!J43</f>
        <v>SR</v>
      </c>
      <c r="G21" s="66">
        <f>INSCRIPCIONES!K43</f>
        <v>19</v>
      </c>
      <c r="H21" s="66">
        <f>INSCRIPCIONES!L43</f>
        <v>22</v>
      </c>
      <c r="I21" s="66">
        <f>INSCRIPCIONES!M43</f>
        <v>23</v>
      </c>
      <c r="J21" s="66">
        <f>INSCRIPCIONES!N43</f>
        <v>24</v>
      </c>
      <c r="K21" s="66">
        <f>INSCRIPCIONES!O43</f>
        <v>88</v>
      </c>
      <c r="L21" s="84">
        <f>INSCRIPCIONES!P43</f>
        <v>0</v>
      </c>
      <c r="M21" s="84">
        <f>SUM(TClasificacion[[#This Row],[TOTAL]:[SHOOT OFF]])</f>
        <v>88</v>
      </c>
    </row>
    <row r="22" spans="1:13" x14ac:dyDescent="0.2">
      <c r="A22" s="77">
        <v>17</v>
      </c>
      <c r="B22" s="60" t="str">
        <f>INSCRIPCIONES!C45</f>
        <v>042</v>
      </c>
      <c r="C22" s="84" t="str">
        <f>INSCRIPCIONES!E45</f>
        <v>Arturo Ruiz Lopez</v>
      </c>
      <c r="D22" s="66" t="str">
        <f>INSCRIPCIONES!G45</f>
        <v>BU</v>
      </c>
      <c r="E22" s="66">
        <f>INSCRIPCIONES!I45</f>
        <v>2</v>
      </c>
      <c r="F22" s="66" t="str">
        <f>INSCRIPCIONES!J45</f>
        <v>SR</v>
      </c>
      <c r="G22" s="66">
        <f>INSCRIPCIONES!K45</f>
        <v>21</v>
      </c>
      <c r="H22" s="66">
        <f>INSCRIPCIONES!L45</f>
        <v>23</v>
      </c>
      <c r="I22" s="66">
        <f>INSCRIPCIONES!M45</f>
        <v>23</v>
      </c>
      <c r="J22" s="66">
        <f>INSCRIPCIONES!N45</f>
        <v>21</v>
      </c>
      <c r="K22" s="66">
        <f>INSCRIPCIONES!O45</f>
        <v>88</v>
      </c>
      <c r="L22" s="84">
        <f>INSCRIPCIONES!P45</f>
        <v>0</v>
      </c>
      <c r="M22" s="84">
        <f>SUM(TClasificacion[[#This Row],[TOTAL]:[SHOOT OFF]])</f>
        <v>88</v>
      </c>
    </row>
    <row r="23" spans="1:13" x14ac:dyDescent="0.2">
      <c r="A23" s="77">
        <v>18</v>
      </c>
      <c r="B23" s="60" t="str">
        <f>INSCRIPCIONES!C24</f>
        <v>021</v>
      </c>
      <c r="C23" s="84" t="str">
        <f>INSCRIPCIONES!E24</f>
        <v>Rufino Ruiz Orosa</v>
      </c>
      <c r="D23" s="66" t="str">
        <f>INSCRIPCIONES!G24</f>
        <v>SG</v>
      </c>
      <c r="E23" s="66">
        <f>INSCRIPCIONES!I24</f>
        <v>2</v>
      </c>
      <c r="F23" s="66" t="str">
        <f>INSCRIPCIONES!J24</f>
        <v>VET</v>
      </c>
      <c r="G23" s="66">
        <f>INSCRIPCIONES!K24</f>
        <v>24</v>
      </c>
      <c r="H23" s="66">
        <f>INSCRIPCIONES!L24</f>
        <v>25</v>
      </c>
      <c r="I23" s="66">
        <f>INSCRIPCIONES!M24</f>
        <v>17</v>
      </c>
      <c r="J23" s="66">
        <f>INSCRIPCIONES!N24</f>
        <v>21</v>
      </c>
      <c r="K23" s="66">
        <f>INSCRIPCIONES!O24</f>
        <v>87</v>
      </c>
      <c r="L23" s="84">
        <f>INSCRIPCIONES!P24</f>
        <v>0</v>
      </c>
      <c r="M23" s="84">
        <f>SUM(TClasificacion[[#This Row],[TOTAL]:[SHOOT OFF]])</f>
        <v>87</v>
      </c>
    </row>
    <row r="24" spans="1:13" x14ac:dyDescent="0.2">
      <c r="A24" s="77">
        <v>19</v>
      </c>
      <c r="B24" s="60" t="str">
        <f>INSCRIPCIONES!C29</f>
        <v>026</v>
      </c>
      <c r="C24" s="84" t="str">
        <f>INSCRIPCIONES!E29</f>
        <v>Carlos Mari Perez Martin</v>
      </c>
      <c r="D24" s="66" t="str">
        <f>INSCRIPCIONES!G29</f>
        <v>P</v>
      </c>
      <c r="E24" s="66">
        <f>INSCRIPCIONES!I29</f>
        <v>2</v>
      </c>
      <c r="F24" s="66" t="str">
        <f>INSCRIPCIONES!J29</f>
        <v>VET</v>
      </c>
      <c r="G24" s="66">
        <f>INSCRIPCIONES!K29</f>
        <v>20</v>
      </c>
      <c r="H24" s="66">
        <f>INSCRIPCIONES!L29</f>
        <v>22</v>
      </c>
      <c r="I24" s="66">
        <f>INSCRIPCIONES!M29</f>
        <v>21</v>
      </c>
      <c r="J24" s="66">
        <f>INSCRIPCIONES!N29</f>
        <v>23</v>
      </c>
      <c r="K24" s="66">
        <f>INSCRIPCIONES!O29</f>
        <v>86</v>
      </c>
      <c r="L24" s="84">
        <f>INSCRIPCIONES!P29</f>
        <v>0</v>
      </c>
      <c r="M24" s="84">
        <f>SUM(TClasificacion[[#This Row],[TOTAL]:[SHOOT OFF]])</f>
        <v>86</v>
      </c>
    </row>
    <row r="25" spans="1:13" x14ac:dyDescent="0.2">
      <c r="A25" s="77">
        <v>20</v>
      </c>
      <c r="B25" s="60" t="str">
        <f>INSCRIPCIONES!C36</f>
        <v>033</v>
      </c>
      <c r="C25" s="84" t="str">
        <f>INSCRIPCIONES!E36</f>
        <v>Vidal Calvo Elena</v>
      </c>
      <c r="D25" s="66" t="str">
        <f>INSCRIPCIONES!G36</f>
        <v>BU</v>
      </c>
      <c r="E25" s="66">
        <f>INSCRIPCIONES!I36</f>
        <v>3</v>
      </c>
      <c r="F25" s="66" t="str">
        <f>INSCRIPCIONES!J36</f>
        <v>SR</v>
      </c>
      <c r="G25" s="66">
        <f>INSCRIPCIONES!K36</f>
        <v>21</v>
      </c>
      <c r="H25" s="66">
        <f>INSCRIPCIONES!L36</f>
        <v>21</v>
      </c>
      <c r="I25" s="66">
        <f>INSCRIPCIONES!M36</f>
        <v>22</v>
      </c>
      <c r="J25" s="66">
        <f>INSCRIPCIONES!N36</f>
        <v>22</v>
      </c>
      <c r="K25" s="66">
        <f>INSCRIPCIONES!O36</f>
        <v>86</v>
      </c>
      <c r="L25" s="84">
        <f>INSCRIPCIONES!P36</f>
        <v>0</v>
      </c>
      <c r="M25" s="84">
        <f>SUM(TClasificacion[[#This Row],[TOTAL]:[SHOOT OFF]])</f>
        <v>86</v>
      </c>
    </row>
    <row r="26" spans="1:13" x14ac:dyDescent="0.2">
      <c r="A26" s="77">
        <v>21</v>
      </c>
      <c r="B26" s="60" t="str">
        <f>INSCRIPCIONES!C42</f>
        <v>039</v>
      </c>
      <c r="C26" s="84" t="str">
        <f>INSCRIPCIONES!E42</f>
        <v>Jairo Garcia Gil</v>
      </c>
      <c r="D26" s="66" t="str">
        <f>INSCRIPCIONES!G42</f>
        <v>BU</v>
      </c>
      <c r="E26" s="66">
        <f>INSCRIPCIONES!I42</f>
        <v>3</v>
      </c>
      <c r="F26" s="66" t="str">
        <f>INSCRIPCIONES!J42</f>
        <v>SR</v>
      </c>
      <c r="G26" s="66">
        <f>INSCRIPCIONES!K42</f>
        <v>23</v>
      </c>
      <c r="H26" s="66">
        <f>INSCRIPCIONES!L42</f>
        <v>22</v>
      </c>
      <c r="I26" s="66">
        <f>INSCRIPCIONES!M42</f>
        <v>21</v>
      </c>
      <c r="J26" s="66">
        <f>INSCRIPCIONES!N42</f>
        <v>20</v>
      </c>
      <c r="K26" s="66">
        <f>INSCRIPCIONES!O42</f>
        <v>86</v>
      </c>
      <c r="L26" s="84">
        <f>INSCRIPCIONES!P42</f>
        <v>0</v>
      </c>
      <c r="M26" s="84">
        <f>SUM(TClasificacion[[#This Row],[TOTAL]:[SHOOT OFF]])</f>
        <v>86</v>
      </c>
    </row>
    <row r="27" spans="1:13" x14ac:dyDescent="0.2">
      <c r="A27" s="77">
        <v>22</v>
      </c>
      <c r="B27" s="60" t="str">
        <f>INSCRIPCIONES!C41</f>
        <v>038</v>
      </c>
      <c r="C27" s="84" t="str">
        <f>INSCRIPCIONES!E41</f>
        <v>Alejandro Gil Ortiz</v>
      </c>
      <c r="D27" s="66" t="str">
        <f>INSCRIPCIONES!G41</f>
        <v>BU</v>
      </c>
      <c r="E27" s="66">
        <f>INSCRIPCIONES!I41</f>
        <v>2</v>
      </c>
      <c r="F27" s="66" t="str">
        <f>INSCRIPCIONES!J41</f>
        <v>SR</v>
      </c>
      <c r="G27" s="66">
        <f>INSCRIPCIONES!K41</f>
        <v>21</v>
      </c>
      <c r="H27" s="66">
        <f>INSCRIPCIONES!L41</f>
        <v>23</v>
      </c>
      <c r="I27" s="66">
        <f>INSCRIPCIONES!M41</f>
        <v>23</v>
      </c>
      <c r="J27" s="66">
        <f>INSCRIPCIONES!N41</f>
        <v>19</v>
      </c>
      <c r="K27" s="66">
        <f>INSCRIPCIONES!O41</f>
        <v>86</v>
      </c>
      <c r="L27" s="84">
        <f>INSCRIPCIONES!P41</f>
        <v>0</v>
      </c>
      <c r="M27" s="84">
        <f>SUM(TClasificacion[[#This Row],[TOTAL]:[SHOOT OFF]])</f>
        <v>86</v>
      </c>
    </row>
    <row r="28" spans="1:13" x14ac:dyDescent="0.2">
      <c r="A28" s="77">
        <v>23</v>
      </c>
      <c r="B28" s="60" t="str">
        <f>INSCRIPCIONES!C39</f>
        <v>036</v>
      </c>
      <c r="C28" s="84" t="str">
        <f>INSCRIPCIONES!E39</f>
        <v>Guillermo Blanco Garcia</v>
      </c>
      <c r="D28" s="66" t="str">
        <f>INSCRIPCIONES!G39</f>
        <v>NA</v>
      </c>
      <c r="E28" s="66">
        <f>INSCRIPCIONES!I39</f>
        <v>3</v>
      </c>
      <c r="F28" s="66" t="str">
        <f>INSCRIPCIONES!J39</f>
        <v>SR</v>
      </c>
      <c r="G28" s="66">
        <f>INSCRIPCIONES!K39</f>
        <v>20</v>
      </c>
      <c r="H28" s="66">
        <f>INSCRIPCIONES!L39</f>
        <v>20</v>
      </c>
      <c r="I28" s="66">
        <f>INSCRIPCIONES!M39</f>
        <v>22</v>
      </c>
      <c r="J28" s="66">
        <f>INSCRIPCIONES!N39</f>
        <v>23</v>
      </c>
      <c r="K28" s="66">
        <f>INSCRIPCIONES!O39</f>
        <v>85</v>
      </c>
      <c r="L28" s="84">
        <f>INSCRIPCIONES!P39</f>
        <v>0</v>
      </c>
      <c r="M28" s="84">
        <f>SUM(TClasificacion[[#This Row],[TOTAL]:[SHOOT OFF]])</f>
        <v>85</v>
      </c>
    </row>
    <row r="29" spans="1:13" x14ac:dyDescent="0.2">
      <c r="A29" s="77">
        <v>24</v>
      </c>
      <c r="B29" s="60" t="str">
        <f>INSCRIPCIONES!C48</f>
        <v>045</v>
      </c>
      <c r="C29" s="84" t="str">
        <f>INSCRIPCIONES!E48</f>
        <v>Luis Amo Fernandez</v>
      </c>
      <c r="D29" s="66" t="str">
        <f>INSCRIPCIONES!G48</f>
        <v>BU</v>
      </c>
      <c r="E29" s="66">
        <f>INSCRIPCIONES!I48</f>
        <v>4</v>
      </c>
      <c r="F29" s="66" t="str">
        <f>INSCRIPCIONES!J48</f>
        <v>SR</v>
      </c>
      <c r="G29" s="66">
        <f>INSCRIPCIONES!K48</f>
        <v>20</v>
      </c>
      <c r="H29" s="66">
        <f>INSCRIPCIONES!L48</f>
        <v>22</v>
      </c>
      <c r="I29" s="66">
        <f>INSCRIPCIONES!M48</f>
        <v>21</v>
      </c>
      <c r="J29" s="66">
        <f>INSCRIPCIONES!N48</f>
        <v>22</v>
      </c>
      <c r="K29" s="66">
        <f>INSCRIPCIONES!O48</f>
        <v>85</v>
      </c>
      <c r="L29" s="84">
        <f>INSCRIPCIONES!P48</f>
        <v>0</v>
      </c>
      <c r="M29" s="84">
        <f>SUM(TClasificacion[[#This Row],[TOTAL]:[SHOOT OFF]])</f>
        <v>85</v>
      </c>
    </row>
    <row r="30" spans="1:13" x14ac:dyDescent="0.2">
      <c r="A30" s="77">
        <v>25</v>
      </c>
      <c r="B30" s="60" t="str">
        <f>INSCRIPCIONES!C23</f>
        <v>020</v>
      </c>
      <c r="C30" s="84" t="str">
        <f>INSCRIPCIONES!E23</f>
        <v>Teodoro Sanz de Sebastian</v>
      </c>
      <c r="D30" s="66" t="str">
        <f>INSCRIPCIONES!G23</f>
        <v>BU</v>
      </c>
      <c r="E30" s="66">
        <f>INSCRIPCIONES!I23</f>
        <v>4</v>
      </c>
      <c r="F30" s="66" t="str">
        <f>INSCRIPCIONES!J23</f>
        <v>SR</v>
      </c>
      <c r="G30" s="66">
        <f>INSCRIPCIONES!K23</f>
        <v>20</v>
      </c>
      <c r="H30" s="66">
        <f>INSCRIPCIONES!L23</f>
        <v>22</v>
      </c>
      <c r="I30" s="66">
        <f>INSCRIPCIONES!M23</f>
        <v>22</v>
      </c>
      <c r="J30" s="66">
        <f>INSCRIPCIONES!N23</f>
        <v>21</v>
      </c>
      <c r="K30" s="66">
        <f>INSCRIPCIONES!O23</f>
        <v>85</v>
      </c>
      <c r="L30" s="84">
        <f>INSCRIPCIONES!P23</f>
        <v>0</v>
      </c>
      <c r="M30" s="84">
        <f>SUM(TClasificacion[[#This Row],[TOTAL]:[SHOOT OFF]])</f>
        <v>85</v>
      </c>
    </row>
    <row r="31" spans="1:13" x14ac:dyDescent="0.2">
      <c r="A31" s="77">
        <v>26</v>
      </c>
      <c r="B31" s="60" t="str">
        <f>INSCRIPCIONES!C40</f>
        <v>037</v>
      </c>
      <c r="C31" s="84" t="str">
        <f>INSCRIPCIONES!E40</f>
        <v>Ivan Salvador Gonzalez</v>
      </c>
      <c r="D31" s="66" t="str">
        <f>INSCRIPCIONES!G40</f>
        <v>BU</v>
      </c>
      <c r="E31" s="66">
        <f>INSCRIPCIONES!I40</f>
        <v>3</v>
      </c>
      <c r="F31" s="66" t="str">
        <f>INSCRIPCIONES!J40</f>
        <v>SR</v>
      </c>
      <c r="G31" s="66">
        <f>INSCRIPCIONES!K40</f>
        <v>24</v>
      </c>
      <c r="H31" s="66">
        <f>INSCRIPCIONES!L40</f>
        <v>21</v>
      </c>
      <c r="I31" s="66">
        <f>INSCRIPCIONES!M40</f>
        <v>21</v>
      </c>
      <c r="J31" s="66">
        <f>INSCRIPCIONES!N40</f>
        <v>19</v>
      </c>
      <c r="K31" s="66">
        <f>INSCRIPCIONES!O40</f>
        <v>85</v>
      </c>
      <c r="L31" s="84">
        <f>INSCRIPCIONES!P40</f>
        <v>0</v>
      </c>
      <c r="M31" s="84">
        <f>SUM(TClasificacion[[#This Row],[TOTAL]:[SHOOT OFF]])</f>
        <v>85</v>
      </c>
    </row>
    <row r="32" spans="1:13" x14ac:dyDescent="0.2">
      <c r="A32" s="77">
        <v>27</v>
      </c>
      <c r="B32" s="60" t="str">
        <f>INSCRIPCIONES!C14</f>
        <v>011</v>
      </c>
      <c r="C32" s="84" t="str">
        <f>INSCRIPCIONES!E14</f>
        <v>Josu Mendina Diz</v>
      </c>
      <c r="D32" s="66" t="str">
        <f>INSCRIPCIONES!G14</f>
        <v>VI</v>
      </c>
      <c r="E32" s="66">
        <f>INSCRIPCIONES!I14</f>
        <v>2</v>
      </c>
      <c r="F32" s="66" t="str">
        <f>INSCRIPCIONES!J14</f>
        <v>JR</v>
      </c>
      <c r="G32" s="66">
        <f>INSCRIPCIONES!K14</f>
        <v>20</v>
      </c>
      <c r="H32" s="66">
        <f>INSCRIPCIONES!L14</f>
        <v>21</v>
      </c>
      <c r="I32" s="66">
        <f>INSCRIPCIONES!M14</f>
        <v>23</v>
      </c>
      <c r="J32" s="66">
        <f>INSCRIPCIONES!N14</f>
        <v>20</v>
      </c>
      <c r="K32" s="66">
        <f>INSCRIPCIONES!O14</f>
        <v>84</v>
      </c>
      <c r="L32" s="84">
        <f>INSCRIPCIONES!P14</f>
        <v>0</v>
      </c>
      <c r="M32" s="84">
        <f>SUM(TClasificacion[[#This Row],[TOTAL]:[SHOOT OFF]])</f>
        <v>84</v>
      </c>
    </row>
    <row r="33" spans="1:13" x14ac:dyDescent="0.2">
      <c r="A33" s="77">
        <v>28</v>
      </c>
      <c r="B33" s="60" t="str">
        <f>INSCRIPCIONES!C35</f>
        <v>032</v>
      </c>
      <c r="C33" s="84" t="str">
        <f>INSCRIPCIONES!E35</f>
        <v>Jorge Juan Roman Garcia</v>
      </c>
      <c r="D33" s="66" t="str">
        <f>INSCRIPCIONES!G35</f>
        <v>BU</v>
      </c>
      <c r="E33" s="66">
        <f>INSCRIPCIONES!I35</f>
        <v>4</v>
      </c>
      <c r="F33" s="66" t="str">
        <f>INSCRIPCIONES!J35</f>
        <v>SR</v>
      </c>
      <c r="G33" s="66">
        <f>INSCRIPCIONES!K35</f>
        <v>21</v>
      </c>
      <c r="H33" s="66">
        <f>INSCRIPCIONES!L35</f>
        <v>23</v>
      </c>
      <c r="I33" s="66">
        <f>INSCRIPCIONES!M35</f>
        <v>18</v>
      </c>
      <c r="J33" s="66">
        <f>INSCRIPCIONES!N35</f>
        <v>21</v>
      </c>
      <c r="K33" s="66">
        <f>INSCRIPCIONES!O35</f>
        <v>83</v>
      </c>
      <c r="L33" s="84">
        <f>INSCRIPCIONES!P35</f>
        <v>0</v>
      </c>
      <c r="M33" s="84">
        <f>SUM(TClasificacion[[#This Row],[TOTAL]:[SHOOT OFF]])</f>
        <v>83</v>
      </c>
    </row>
    <row r="34" spans="1:13" x14ac:dyDescent="0.2">
      <c r="A34" s="77">
        <v>29</v>
      </c>
      <c r="B34" s="60" t="str">
        <f>INSCRIPCIONES!C4</f>
        <v>001</v>
      </c>
      <c r="C34" s="84" t="str">
        <f>INSCRIPCIONES!E4</f>
        <v>Raul Alonso Saiz</v>
      </c>
      <c r="D34" s="66" t="str">
        <f>INSCRIPCIONES!G4</f>
        <v>BU</v>
      </c>
      <c r="E34" s="66">
        <f>INSCRIPCIONES!I4</f>
        <v>4</v>
      </c>
      <c r="F34" s="66" t="str">
        <f>INSCRIPCIONES!J4</f>
        <v>SR</v>
      </c>
      <c r="G34" s="66">
        <f>INSCRIPCIONES!K4</f>
        <v>19</v>
      </c>
      <c r="H34" s="66">
        <f>INSCRIPCIONES!L4</f>
        <v>23</v>
      </c>
      <c r="I34" s="66">
        <f>INSCRIPCIONES!M4</f>
        <v>21</v>
      </c>
      <c r="J34" s="66">
        <f>INSCRIPCIONES!N4</f>
        <v>20</v>
      </c>
      <c r="K34" s="66">
        <f>INSCRIPCIONES!O4</f>
        <v>83</v>
      </c>
      <c r="L34" s="84">
        <f>INSCRIPCIONES!P4</f>
        <v>0</v>
      </c>
      <c r="M34" s="84">
        <f>SUM(TClasificacion[[#This Row],[TOTAL]:[SHOOT OFF]])</f>
        <v>83</v>
      </c>
    </row>
    <row r="35" spans="1:13" x14ac:dyDescent="0.2">
      <c r="A35" s="77">
        <v>30</v>
      </c>
      <c r="B35" s="60" t="str">
        <f>INSCRIPCIONES!C38</f>
        <v>035</v>
      </c>
      <c r="C35" s="84" t="str">
        <f>INSCRIPCIONES!E38</f>
        <v>Arnulfo Rodriguez Torrego</v>
      </c>
      <c r="D35" s="66" t="str">
        <f>INSCRIPCIONES!G38</f>
        <v>BU</v>
      </c>
      <c r="E35" s="66">
        <f>INSCRIPCIONES!I38</f>
        <v>3</v>
      </c>
      <c r="F35" s="66" t="str">
        <f>INSCRIPCIONES!J38</f>
        <v>SR</v>
      </c>
      <c r="G35" s="66">
        <f>INSCRIPCIONES!K38</f>
        <v>20</v>
      </c>
      <c r="H35" s="66">
        <f>INSCRIPCIONES!L38</f>
        <v>20</v>
      </c>
      <c r="I35" s="66">
        <f>INSCRIPCIONES!M38</f>
        <v>24</v>
      </c>
      <c r="J35" s="66">
        <f>INSCRIPCIONES!N38</f>
        <v>19</v>
      </c>
      <c r="K35" s="66">
        <f>INSCRIPCIONES!O38</f>
        <v>83</v>
      </c>
      <c r="L35" s="84">
        <f>INSCRIPCIONES!P38</f>
        <v>0</v>
      </c>
      <c r="M35" s="84">
        <f>SUM(TClasificacion[[#This Row],[TOTAL]:[SHOOT OFF]])</f>
        <v>83</v>
      </c>
    </row>
    <row r="36" spans="1:13" x14ac:dyDescent="0.2">
      <c r="A36" s="77">
        <v>31</v>
      </c>
      <c r="B36" s="60" t="str">
        <f>INSCRIPCIONES!C5</f>
        <v>002</v>
      </c>
      <c r="C36" s="84" t="str">
        <f>INSCRIPCIONES!E5</f>
        <v>Roberto Garcia Arnaiz</v>
      </c>
      <c r="D36" s="66" t="str">
        <f>INSCRIPCIONES!G5</f>
        <v>BU</v>
      </c>
      <c r="E36" s="66">
        <f>INSCRIPCIONES!I5</f>
        <v>3</v>
      </c>
      <c r="F36" s="66" t="str">
        <f>INSCRIPCIONES!J5</f>
        <v>SR</v>
      </c>
      <c r="G36" s="66">
        <f>INSCRIPCIONES!K5</f>
        <v>21</v>
      </c>
      <c r="H36" s="66">
        <f>INSCRIPCIONES!L5</f>
        <v>20</v>
      </c>
      <c r="I36" s="66">
        <f>INSCRIPCIONES!M5</f>
        <v>23</v>
      </c>
      <c r="J36" s="66">
        <f>INSCRIPCIONES!N5</f>
        <v>19</v>
      </c>
      <c r="K36" s="66">
        <f>INSCRIPCIONES!O5</f>
        <v>83</v>
      </c>
      <c r="L36" s="84">
        <f>INSCRIPCIONES!P5</f>
        <v>0</v>
      </c>
      <c r="M36" s="84">
        <f>SUM(TClasificacion[[#This Row],[TOTAL]:[SHOOT OFF]])</f>
        <v>83</v>
      </c>
    </row>
    <row r="37" spans="1:13" x14ac:dyDescent="0.2">
      <c r="A37" s="77">
        <v>32</v>
      </c>
      <c r="B37" s="60" t="str">
        <f>INSCRIPCIONES!C9</f>
        <v>006</v>
      </c>
      <c r="C37" s="84" t="str">
        <f>INSCRIPCIONES!E9</f>
        <v>Roberto Santamaria Alonso</v>
      </c>
      <c r="D37" s="66" t="str">
        <f>INSCRIPCIONES!G9</f>
        <v>BU</v>
      </c>
      <c r="E37" s="66">
        <f>INSCRIPCIONES!I9</f>
        <v>3</v>
      </c>
      <c r="F37" s="66" t="str">
        <f>INSCRIPCIONES!J9</f>
        <v>SR</v>
      </c>
      <c r="G37" s="66">
        <f>INSCRIPCIONES!K9</f>
        <v>17</v>
      </c>
      <c r="H37" s="66">
        <f>INSCRIPCIONES!L9</f>
        <v>20</v>
      </c>
      <c r="I37" s="66">
        <f>INSCRIPCIONES!M9</f>
        <v>22</v>
      </c>
      <c r="J37" s="66">
        <f>INSCRIPCIONES!N9</f>
        <v>22</v>
      </c>
      <c r="K37" s="66">
        <f>INSCRIPCIONES!O9</f>
        <v>81</v>
      </c>
      <c r="L37" s="84">
        <f>INSCRIPCIONES!P9</f>
        <v>0</v>
      </c>
      <c r="M37" s="84">
        <f>SUM(TClasificacion[[#This Row],[TOTAL]:[SHOOT OFF]])</f>
        <v>81</v>
      </c>
    </row>
    <row r="38" spans="1:13" x14ac:dyDescent="0.2">
      <c r="A38" s="77">
        <v>33</v>
      </c>
      <c r="B38" s="60" t="str">
        <f>INSCRIPCIONES!C50</f>
        <v>047</v>
      </c>
      <c r="C38" s="84" t="str">
        <f>INSCRIPCIONES!E50</f>
        <v>Gregorio Noriega</v>
      </c>
      <c r="D38" s="66" t="str">
        <f>INSCRIPCIONES!G50</f>
        <v>BU</v>
      </c>
      <c r="E38" s="66">
        <f>INSCRIPCIONES!I50</f>
        <v>3</v>
      </c>
      <c r="F38" s="66" t="str">
        <f>INSCRIPCIONES!J50</f>
        <v>SR</v>
      </c>
      <c r="G38" s="66">
        <f>INSCRIPCIONES!K50</f>
        <v>22</v>
      </c>
      <c r="H38" s="66">
        <f>INSCRIPCIONES!L50</f>
        <v>21</v>
      </c>
      <c r="I38" s="66">
        <f>INSCRIPCIONES!M50</f>
        <v>17</v>
      </c>
      <c r="J38" s="66">
        <f>INSCRIPCIONES!N50</f>
        <v>21</v>
      </c>
      <c r="K38" s="66">
        <f>INSCRIPCIONES!O50</f>
        <v>81</v>
      </c>
      <c r="L38" s="84">
        <f>INSCRIPCIONES!P50</f>
        <v>0</v>
      </c>
      <c r="M38" s="84">
        <f>SUM(TClasificacion[[#This Row],[TOTAL]:[SHOOT OFF]])</f>
        <v>81</v>
      </c>
    </row>
    <row r="39" spans="1:13" x14ac:dyDescent="0.2">
      <c r="A39" s="77">
        <v>34</v>
      </c>
      <c r="B39" s="60" t="str">
        <f>INSCRIPCIONES!C27</f>
        <v>024</v>
      </c>
      <c r="C39" s="84" t="str">
        <f>INSCRIPCIONES!E27</f>
        <v>Javier de la Camara Izquierdo</v>
      </c>
      <c r="D39" s="66" t="str">
        <f>INSCRIPCIONES!G27</f>
        <v>BU</v>
      </c>
      <c r="E39" s="66">
        <f>INSCRIPCIONES!I27</f>
        <v>3</v>
      </c>
      <c r="F39" s="66" t="str">
        <f>INSCRIPCIONES!J27</f>
        <v>SR</v>
      </c>
      <c r="G39" s="66">
        <f>INSCRIPCIONES!K27</f>
        <v>20</v>
      </c>
      <c r="H39" s="66">
        <f>INSCRIPCIONES!L27</f>
        <v>23</v>
      </c>
      <c r="I39" s="66">
        <f>INSCRIPCIONES!M27</f>
        <v>19</v>
      </c>
      <c r="J39" s="66">
        <f>INSCRIPCIONES!N27</f>
        <v>19</v>
      </c>
      <c r="K39" s="66">
        <f>INSCRIPCIONES!O27</f>
        <v>81</v>
      </c>
      <c r="L39" s="84">
        <f>INSCRIPCIONES!P27</f>
        <v>0</v>
      </c>
      <c r="M39" s="84">
        <f>SUM(TClasificacion[[#This Row],[TOTAL]:[SHOOT OFF]])</f>
        <v>81</v>
      </c>
    </row>
    <row r="40" spans="1:13" x14ac:dyDescent="0.2">
      <c r="A40" s="77">
        <v>35</v>
      </c>
      <c r="B40" s="60" t="str">
        <f>INSCRIPCIONES!C30</f>
        <v>027</v>
      </c>
      <c r="C40" s="84" t="str">
        <f>INSCRIPCIONES!E30</f>
        <v>Eusebio Barquin Herreria</v>
      </c>
      <c r="D40" s="66" t="str">
        <f>INSCRIPCIONES!G30</f>
        <v>BI</v>
      </c>
      <c r="E40" s="66">
        <f>INSCRIPCIONES!I30</f>
        <v>2</v>
      </c>
      <c r="F40" s="66" t="str">
        <f>INSCRIPCIONES!J30</f>
        <v>SR</v>
      </c>
      <c r="G40" s="66">
        <f>INSCRIPCIONES!K30</f>
        <v>22</v>
      </c>
      <c r="H40" s="66">
        <f>INSCRIPCIONES!L30</f>
        <v>18</v>
      </c>
      <c r="I40" s="66">
        <f>INSCRIPCIONES!M30</f>
        <v>17</v>
      </c>
      <c r="J40" s="66">
        <f>INSCRIPCIONES!N30</f>
        <v>23</v>
      </c>
      <c r="K40" s="66">
        <f>INSCRIPCIONES!O30</f>
        <v>80</v>
      </c>
      <c r="L40" s="84">
        <f>INSCRIPCIONES!P30</f>
        <v>0</v>
      </c>
      <c r="M40" s="84">
        <f>SUM(TClasificacion[[#This Row],[TOTAL]:[SHOOT OFF]])</f>
        <v>80</v>
      </c>
    </row>
    <row r="41" spans="1:13" x14ac:dyDescent="0.2">
      <c r="A41" s="77">
        <v>36</v>
      </c>
      <c r="B41" s="60" t="str">
        <f>INSCRIPCIONES!C46</f>
        <v>043</v>
      </c>
      <c r="C41" s="84" t="str">
        <f>INSCRIPCIONES!E46</f>
        <v>Jorge Javier Garcia Perez</v>
      </c>
      <c r="D41" s="66" t="str">
        <f>INSCRIPCIONES!G46</f>
        <v>BU</v>
      </c>
      <c r="E41" s="66">
        <f>INSCRIPCIONES!I46</f>
        <v>3</v>
      </c>
      <c r="F41" s="66" t="str">
        <f>INSCRIPCIONES!J46</f>
        <v>SR</v>
      </c>
      <c r="G41" s="66">
        <f>INSCRIPCIONES!K46</f>
        <v>21</v>
      </c>
      <c r="H41" s="66">
        <f>INSCRIPCIONES!L46</f>
        <v>19</v>
      </c>
      <c r="I41" s="66">
        <f>INSCRIPCIONES!M46</f>
        <v>18</v>
      </c>
      <c r="J41" s="66">
        <f>INSCRIPCIONES!N46</f>
        <v>22</v>
      </c>
      <c r="K41" s="66">
        <f>INSCRIPCIONES!O46</f>
        <v>80</v>
      </c>
      <c r="L41" s="84">
        <f>INSCRIPCIONES!P46</f>
        <v>0</v>
      </c>
      <c r="M41" s="84">
        <f>SUM(TClasificacion[[#This Row],[TOTAL]:[SHOOT OFF]])</f>
        <v>80</v>
      </c>
    </row>
    <row r="42" spans="1:13" x14ac:dyDescent="0.2">
      <c r="A42" s="77">
        <v>37</v>
      </c>
      <c r="B42" s="60" t="str">
        <f>INSCRIPCIONES!C8</f>
        <v>005</v>
      </c>
      <c r="C42" s="84" t="str">
        <f>INSCRIPCIONES!E8</f>
        <v>Antonio Saiz Antolin "FARRU"</v>
      </c>
      <c r="D42" s="66" t="str">
        <f>INSCRIPCIONES!G8</f>
        <v>BU</v>
      </c>
      <c r="E42" s="39">
        <f>INSCRIPCIONES!I8</f>
        <v>4</v>
      </c>
      <c r="F42" s="66" t="str">
        <f>INSCRIPCIONES!J8</f>
        <v>SR</v>
      </c>
      <c r="G42" s="66">
        <f>INSCRIPCIONES!K8</f>
        <v>17</v>
      </c>
      <c r="H42" s="66">
        <f>INSCRIPCIONES!L8</f>
        <v>21</v>
      </c>
      <c r="I42" s="66">
        <f>INSCRIPCIONES!M8</f>
        <v>22</v>
      </c>
      <c r="J42" s="66">
        <f>INSCRIPCIONES!N8</f>
        <v>18</v>
      </c>
      <c r="K42" s="66">
        <f>INSCRIPCIONES!O8</f>
        <v>78</v>
      </c>
      <c r="L42" s="84">
        <f>INSCRIPCIONES!P8</f>
        <v>0</v>
      </c>
      <c r="M42" s="84">
        <f>SUM(TClasificacion[[#This Row],[TOTAL]:[SHOOT OFF]])</f>
        <v>78</v>
      </c>
    </row>
    <row r="43" spans="1:13" x14ac:dyDescent="0.2">
      <c r="A43" s="77">
        <v>38</v>
      </c>
      <c r="B43" s="60" t="str">
        <f>INSCRIPCIONES!C16</f>
        <v>013</v>
      </c>
      <c r="C43" s="84" t="str">
        <f>INSCRIPCIONES!E16</f>
        <v xml:space="preserve">Juan Jesus Andino Juarros </v>
      </c>
      <c r="D43" s="66" t="str">
        <f>INSCRIPCIONES!G16</f>
        <v>BI</v>
      </c>
      <c r="E43" s="66">
        <f>INSCRIPCIONES!I16</f>
        <v>3</v>
      </c>
      <c r="F43" s="66" t="str">
        <f>INSCRIPCIONES!J16</f>
        <v>VET</v>
      </c>
      <c r="G43" s="66">
        <f>INSCRIPCIONES!K16</f>
        <v>21</v>
      </c>
      <c r="H43" s="66">
        <f>INSCRIPCIONES!L16</f>
        <v>19</v>
      </c>
      <c r="I43" s="66">
        <f>INSCRIPCIONES!M16</f>
        <v>16</v>
      </c>
      <c r="J43" s="66">
        <f>INSCRIPCIONES!N16</f>
        <v>21</v>
      </c>
      <c r="K43" s="66">
        <f>INSCRIPCIONES!O16</f>
        <v>77</v>
      </c>
      <c r="L43" s="84">
        <f>INSCRIPCIONES!P16</f>
        <v>0</v>
      </c>
      <c r="M43" s="84">
        <f>SUM(TClasificacion[[#This Row],[TOTAL]:[SHOOT OFF]])</f>
        <v>77</v>
      </c>
    </row>
    <row r="44" spans="1:13" x14ac:dyDescent="0.2">
      <c r="A44" s="77">
        <v>39</v>
      </c>
      <c r="B44" s="60" t="str">
        <f>INSCRIPCIONES!C7</f>
        <v>004</v>
      </c>
      <c r="C44" s="84" t="str">
        <f>INSCRIPCIONES!E7</f>
        <v>Ramon Martinez Lopez</v>
      </c>
      <c r="D44" s="66" t="str">
        <f>INSCRIPCIONES!G7</f>
        <v>BU</v>
      </c>
      <c r="E44" s="66">
        <f>INSCRIPCIONES!I7</f>
        <v>4</v>
      </c>
      <c r="F44" s="66" t="str">
        <f>INSCRIPCIONES!J7</f>
        <v>VET</v>
      </c>
      <c r="G44" s="66">
        <f>INSCRIPCIONES!K7</f>
        <v>19</v>
      </c>
      <c r="H44" s="66">
        <f>INSCRIPCIONES!L7</f>
        <v>21</v>
      </c>
      <c r="I44" s="66">
        <f>INSCRIPCIONES!M7</f>
        <v>18</v>
      </c>
      <c r="J44" s="66">
        <f>INSCRIPCIONES!N7</f>
        <v>19</v>
      </c>
      <c r="K44" s="66">
        <f>INSCRIPCIONES!O7</f>
        <v>77</v>
      </c>
      <c r="L44" s="84">
        <f>INSCRIPCIONES!P7</f>
        <v>0</v>
      </c>
      <c r="M44" s="84">
        <f>SUM(TClasificacion[[#This Row],[TOTAL]:[SHOOT OFF]])</f>
        <v>77</v>
      </c>
    </row>
    <row r="45" spans="1:13" x14ac:dyDescent="0.2">
      <c r="A45" s="77">
        <v>40</v>
      </c>
      <c r="B45" s="60" t="str">
        <f>INSCRIPCIONES!C13</f>
        <v>010</v>
      </c>
      <c r="C45" s="84" t="str">
        <f>INSCRIPCIONES!E13</f>
        <v>Jose Luis Medina Martinez</v>
      </c>
      <c r="D45" s="66" t="str">
        <f>INSCRIPCIONES!G13</f>
        <v>VI</v>
      </c>
      <c r="E45" s="66">
        <f>INSCRIPCIONES!I13</f>
        <v>3</v>
      </c>
      <c r="F45" s="66" t="str">
        <f>INSCRIPCIONES!J13</f>
        <v>VET</v>
      </c>
      <c r="G45" s="66">
        <f>INSCRIPCIONES!K13</f>
        <v>20</v>
      </c>
      <c r="H45" s="66">
        <f>INSCRIPCIONES!L13</f>
        <v>18</v>
      </c>
      <c r="I45" s="66">
        <f>INSCRIPCIONES!M13</f>
        <v>22</v>
      </c>
      <c r="J45" s="66">
        <f>INSCRIPCIONES!N13</f>
        <v>16</v>
      </c>
      <c r="K45" s="66">
        <f>INSCRIPCIONES!O13</f>
        <v>76</v>
      </c>
      <c r="L45" s="84">
        <f>INSCRIPCIONES!P13</f>
        <v>0</v>
      </c>
      <c r="M45" s="84">
        <f>SUM(TClasificacion[[#This Row],[TOTAL]:[SHOOT OFF]])</f>
        <v>76</v>
      </c>
    </row>
    <row r="46" spans="1:13" x14ac:dyDescent="0.2">
      <c r="A46" s="77">
        <v>41</v>
      </c>
      <c r="B46" s="60" t="str">
        <f>INSCRIPCIONES!C44</f>
        <v>041</v>
      </c>
      <c r="C46" s="84" t="str">
        <f>INSCRIPCIONES!E44</f>
        <v>Ivan Gonzalez Palacin</v>
      </c>
      <c r="D46" s="66" t="str">
        <f>INSCRIPCIONES!G44</f>
        <v>BU</v>
      </c>
      <c r="E46" s="66">
        <f>INSCRIPCIONES!I44</f>
        <v>4</v>
      </c>
      <c r="F46" s="66" t="str">
        <f>INSCRIPCIONES!J44</f>
        <v>SR</v>
      </c>
      <c r="G46" s="66">
        <f>INSCRIPCIONES!K44</f>
        <v>19</v>
      </c>
      <c r="H46" s="66">
        <f>INSCRIPCIONES!L44</f>
        <v>18</v>
      </c>
      <c r="I46" s="66">
        <f>INSCRIPCIONES!M44</f>
        <v>17</v>
      </c>
      <c r="J46" s="66">
        <f>INSCRIPCIONES!N44</f>
        <v>21</v>
      </c>
      <c r="K46" s="66">
        <f>INSCRIPCIONES!O44</f>
        <v>75</v>
      </c>
      <c r="L46" s="84">
        <f>INSCRIPCIONES!P44</f>
        <v>0</v>
      </c>
      <c r="M46" s="84">
        <f>SUM(TClasificacion[[#This Row],[TOTAL]:[SHOOT OFF]])</f>
        <v>75</v>
      </c>
    </row>
    <row r="47" spans="1:13" x14ac:dyDescent="0.2">
      <c r="A47" s="77">
        <v>42</v>
      </c>
      <c r="B47" s="60" t="str">
        <f>INSCRIPCIONES!C32</f>
        <v>029</v>
      </c>
      <c r="C47" s="84" t="str">
        <f>INSCRIPCIONES!E32</f>
        <v>Jose Herrera</v>
      </c>
      <c r="D47" s="66" t="str">
        <f>INSCRIPCIONES!G32</f>
        <v>P</v>
      </c>
      <c r="E47" s="66">
        <f>INSCRIPCIONES!I32</f>
        <v>2</v>
      </c>
      <c r="F47" s="66" t="str">
        <f>INSCRIPCIONES!J32</f>
        <v>SR</v>
      </c>
      <c r="G47" s="66">
        <f>INSCRIPCIONES!K32</f>
        <v>18</v>
      </c>
      <c r="H47" s="66">
        <f>INSCRIPCIONES!L32</f>
        <v>20</v>
      </c>
      <c r="I47" s="66">
        <f>INSCRIPCIONES!M32</f>
        <v>18</v>
      </c>
      <c r="J47" s="66">
        <f>INSCRIPCIONES!N32</f>
        <v>19</v>
      </c>
      <c r="K47" s="66">
        <f>INSCRIPCIONES!O32</f>
        <v>75</v>
      </c>
      <c r="L47" s="84">
        <f>INSCRIPCIONES!P32</f>
        <v>0</v>
      </c>
      <c r="M47" s="84">
        <f>SUM(TClasificacion[[#This Row],[TOTAL]:[SHOOT OFF]])</f>
        <v>75</v>
      </c>
    </row>
    <row r="48" spans="1:13" x14ac:dyDescent="0.2">
      <c r="A48" s="77">
        <v>43</v>
      </c>
      <c r="B48" s="60" t="str">
        <f>INSCRIPCIONES!C34</f>
        <v>031</v>
      </c>
      <c r="C48" s="84" t="str">
        <f>INSCRIPCIONES!E34</f>
        <v>Fernando Gonzalez Peña</v>
      </c>
      <c r="D48" s="66" t="str">
        <f>INSCRIPCIONES!G34</f>
        <v>BU</v>
      </c>
      <c r="E48" s="66">
        <f>INSCRIPCIONES!I34</f>
        <v>4</v>
      </c>
      <c r="F48" s="66" t="str">
        <f>INSCRIPCIONES!J34</f>
        <v>SR</v>
      </c>
      <c r="G48" s="66">
        <f>INSCRIPCIONES!K34</f>
        <v>20</v>
      </c>
      <c r="H48" s="66">
        <f>INSCRIPCIONES!L34</f>
        <v>18</v>
      </c>
      <c r="I48" s="66">
        <f>INSCRIPCIONES!M34</f>
        <v>17</v>
      </c>
      <c r="J48" s="66">
        <f>INSCRIPCIONES!N34</f>
        <v>19</v>
      </c>
      <c r="K48" s="66">
        <f>INSCRIPCIONES!O34</f>
        <v>74</v>
      </c>
      <c r="L48" s="84">
        <f>INSCRIPCIONES!P34</f>
        <v>0</v>
      </c>
      <c r="M48" s="84">
        <f>SUM(TClasificacion[[#This Row],[TOTAL]:[SHOOT OFF]])</f>
        <v>74</v>
      </c>
    </row>
    <row r="49" spans="1:13" x14ac:dyDescent="0.2">
      <c r="A49" s="77">
        <v>44</v>
      </c>
      <c r="B49" s="60" t="str">
        <f>INSCRIPCIONES!C31</f>
        <v>028</v>
      </c>
      <c r="C49" s="84" t="str">
        <f>INSCRIPCIONES!E31</f>
        <v>Flor Rojo</v>
      </c>
      <c r="D49" s="66" t="str">
        <f>INSCRIPCIONES!G31</f>
        <v>P</v>
      </c>
      <c r="E49" s="66">
        <f>INSCRIPCIONES!I31</f>
        <v>4</v>
      </c>
      <c r="F49" s="66" t="str">
        <f>INSCRIPCIONES!J31</f>
        <v>DM</v>
      </c>
      <c r="G49" s="66">
        <f>INSCRIPCIONES!K31</f>
        <v>20</v>
      </c>
      <c r="H49" s="66">
        <f>INSCRIPCIONES!L31</f>
        <v>19</v>
      </c>
      <c r="I49" s="66">
        <f>INSCRIPCIONES!M31</f>
        <v>19</v>
      </c>
      <c r="J49" s="66">
        <f>INSCRIPCIONES!N31</f>
        <v>16</v>
      </c>
      <c r="K49" s="66">
        <f>INSCRIPCIONES!O31</f>
        <v>74</v>
      </c>
      <c r="L49" s="84">
        <f>INSCRIPCIONES!P31</f>
        <v>0</v>
      </c>
      <c r="M49" s="84">
        <f>SUM(TClasificacion[[#This Row],[TOTAL]:[SHOOT OFF]])</f>
        <v>74</v>
      </c>
    </row>
    <row r="50" spans="1:13" x14ac:dyDescent="0.2">
      <c r="A50" s="77">
        <v>45</v>
      </c>
      <c r="B50" s="60" t="str">
        <f>INSCRIPCIONES!C37</f>
        <v>034</v>
      </c>
      <c r="C50" s="84" t="str">
        <f>INSCRIPCIONES!E37</f>
        <v>Joaquin Santaeufemia Alevia -CAÑITA-</v>
      </c>
      <c r="D50" s="66" t="str">
        <f>INSCRIPCIONES!G37</f>
        <v>BU</v>
      </c>
      <c r="E50" s="66">
        <f>INSCRIPCIONES!I37</f>
        <v>4</v>
      </c>
      <c r="F50" s="66" t="str">
        <f>INSCRIPCIONES!J37</f>
        <v>SR</v>
      </c>
      <c r="G50" s="66">
        <f>INSCRIPCIONES!K37</f>
        <v>17</v>
      </c>
      <c r="H50" s="66">
        <f>INSCRIPCIONES!L37</f>
        <v>19</v>
      </c>
      <c r="I50" s="66">
        <f>INSCRIPCIONES!M37</f>
        <v>16</v>
      </c>
      <c r="J50" s="66">
        <f>INSCRIPCIONES!N37</f>
        <v>19</v>
      </c>
      <c r="K50" s="66">
        <f>INSCRIPCIONES!O37</f>
        <v>71</v>
      </c>
      <c r="L50" s="84">
        <f>INSCRIPCIONES!P37</f>
        <v>0</v>
      </c>
      <c r="M50" s="84">
        <f>SUM(TClasificacion[[#This Row],[TOTAL]:[SHOOT OFF]])</f>
        <v>71</v>
      </c>
    </row>
    <row r="51" spans="1:13" x14ac:dyDescent="0.2">
      <c r="A51" s="77">
        <v>46</v>
      </c>
      <c r="B51" s="60" t="str">
        <f>INSCRIPCIONES!C47</f>
        <v>044</v>
      </c>
      <c r="C51" s="84" t="str">
        <f>INSCRIPCIONES!E47</f>
        <v>Jose Tomas Barrio Mayor</v>
      </c>
      <c r="D51" s="66" t="str">
        <f>INSCRIPCIONES!G47</f>
        <v>BU</v>
      </c>
      <c r="E51" s="66">
        <f>INSCRIPCIONES!I47</f>
        <v>3</v>
      </c>
      <c r="F51" s="66" t="str">
        <f>INSCRIPCIONES!J47</f>
        <v>SR</v>
      </c>
      <c r="G51" s="66">
        <f>INSCRIPCIONES!K47</f>
        <v>20</v>
      </c>
      <c r="H51" s="66">
        <f>INSCRIPCIONES!L47</f>
        <v>15</v>
      </c>
      <c r="I51" s="66">
        <f>INSCRIPCIONES!M47</f>
        <v>18</v>
      </c>
      <c r="J51" s="66">
        <f>INSCRIPCIONES!N47</f>
        <v>18</v>
      </c>
      <c r="K51" s="66">
        <f>INSCRIPCIONES!O47</f>
        <v>71</v>
      </c>
      <c r="L51" s="84">
        <f>INSCRIPCIONES!P47</f>
        <v>0</v>
      </c>
      <c r="M51" s="84">
        <f>SUM(TClasificacion[[#This Row],[TOTAL]:[SHOOT OFF]])</f>
        <v>71</v>
      </c>
    </row>
    <row r="52" spans="1:13" x14ac:dyDescent="0.2">
      <c r="A52" s="77">
        <v>47</v>
      </c>
      <c r="B52" s="60" t="str">
        <f>INSCRIPCIONES!C25</f>
        <v>022</v>
      </c>
      <c r="C52" s="84" t="str">
        <f>INSCRIPCIONES!E25</f>
        <v>Ricardo Rojo Gonzalez</v>
      </c>
      <c r="D52" s="66" t="str">
        <f>INSCRIPCIONES!G25</f>
        <v>BU</v>
      </c>
      <c r="E52" s="66">
        <f>INSCRIPCIONES!I25</f>
        <v>4</v>
      </c>
      <c r="F52" s="66" t="str">
        <f>INSCRIPCIONES!J25</f>
        <v>SR</v>
      </c>
      <c r="G52" s="66">
        <f>INSCRIPCIONES!K25</f>
        <v>15</v>
      </c>
      <c r="H52" s="66">
        <f>INSCRIPCIONES!L25</f>
        <v>13</v>
      </c>
      <c r="I52" s="66">
        <f>INSCRIPCIONES!M25</f>
        <v>12</v>
      </c>
      <c r="J52" s="66">
        <f>INSCRIPCIONES!N25</f>
        <v>19</v>
      </c>
      <c r="K52" s="66">
        <f>INSCRIPCIONES!O25</f>
        <v>59</v>
      </c>
      <c r="L52" s="84">
        <f>INSCRIPCIONES!P25</f>
        <v>0</v>
      </c>
      <c r="M52" s="84">
        <f>SUM(TClasificacion[[#This Row],[TOTAL]:[SHOOT OFF]])</f>
        <v>59</v>
      </c>
    </row>
    <row r="53" spans="1:13" x14ac:dyDescent="0.2">
      <c r="A53" s="77">
        <v>48</v>
      </c>
      <c r="B53" s="60" t="str">
        <f>INSCRIPCIONES!C49</f>
        <v>046</v>
      </c>
      <c r="C53" s="84" t="str">
        <f>INSCRIPCIONES!E49</f>
        <v>Maximo Ausin Ausin</v>
      </c>
      <c r="D53" s="66" t="str">
        <f>INSCRIPCIONES!G49</f>
        <v>BU</v>
      </c>
      <c r="E53" s="66">
        <f>INSCRIPCIONES!I49</f>
        <v>4</v>
      </c>
      <c r="F53" s="66" t="str">
        <f>INSCRIPCIONES!J49</f>
        <v>VET</v>
      </c>
      <c r="G53" s="66">
        <f>INSCRIPCIONES!K49</f>
        <v>12</v>
      </c>
      <c r="H53" s="66">
        <f>INSCRIPCIONES!L49</f>
        <v>13</v>
      </c>
      <c r="I53" s="66">
        <f>INSCRIPCIONES!M49</f>
        <v>18</v>
      </c>
      <c r="J53" s="66">
        <f>INSCRIPCIONES!N49</f>
        <v>15</v>
      </c>
      <c r="K53" s="66">
        <f>INSCRIPCIONES!O49</f>
        <v>58</v>
      </c>
      <c r="L53" s="84">
        <f>INSCRIPCIONES!P49</f>
        <v>0</v>
      </c>
      <c r="M53" s="84">
        <f>SUM(TClasificacion[[#This Row],[TOTAL]:[SHOOT OFF]])</f>
        <v>58</v>
      </c>
    </row>
    <row r="54" spans="1:13" x14ac:dyDescent="0.2">
      <c r="A54" s="78"/>
      <c r="B54" s="60"/>
      <c r="C54" s="84" t="str">
        <f>INSCRIPCIONES!E52</f>
        <v/>
      </c>
      <c r="D54" s="66" t="str">
        <f>INSCRIPCIONES!G52</f>
        <v/>
      </c>
      <c r="E54" s="66" t="str">
        <f>INSCRIPCIONES!I52</f>
        <v/>
      </c>
      <c r="F54" s="66" t="str">
        <f>INSCRIPCIONES!J52</f>
        <v/>
      </c>
      <c r="G54" s="66">
        <f>INSCRIPCIONES!K52</f>
        <v>0</v>
      </c>
      <c r="H54" s="66">
        <f>INSCRIPCIONES!L52</f>
        <v>0</v>
      </c>
      <c r="I54" s="66">
        <f>INSCRIPCIONES!M52</f>
        <v>0</v>
      </c>
      <c r="J54" s="66">
        <f>INSCRIPCIONES!N52</f>
        <v>0</v>
      </c>
      <c r="K54" s="66">
        <f>INSCRIPCIONES!O52</f>
        <v>0</v>
      </c>
      <c r="L54" s="84">
        <f>INSCRIPCIONES!P52</f>
        <v>0</v>
      </c>
      <c r="M54" s="84" t="e">
        <f>SUM(TClasificacion[[#This Row],[TOTAL]:[SHOOT OFF]])</f>
        <v>#VALUE!</v>
      </c>
    </row>
    <row r="55" spans="1:13" x14ac:dyDescent="0.2">
      <c r="A55" s="78"/>
      <c r="B55" s="60"/>
      <c r="C55" s="84" t="str">
        <f>INSCRIPCIONES!E53</f>
        <v/>
      </c>
      <c r="D55" s="66" t="str">
        <f>INSCRIPCIONES!G53</f>
        <v/>
      </c>
      <c r="E55" s="66" t="str">
        <f>INSCRIPCIONES!I53</f>
        <v/>
      </c>
      <c r="F55" s="66" t="str">
        <f>INSCRIPCIONES!J53</f>
        <v/>
      </c>
      <c r="G55" s="66">
        <f>INSCRIPCIONES!K53</f>
        <v>0</v>
      </c>
      <c r="H55" s="66">
        <f>INSCRIPCIONES!L53</f>
        <v>0</v>
      </c>
      <c r="I55" s="66">
        <f>INSCRIPCIONES!M53</f>
        <v>0</v>
      </c>
      <c r="J55" s="66">
        <f>INSCRIPCIONES!N53</f>
        <v>0</v>
      </c>
      <c r="K55" s="66">
        <f>INSCRIPCIONES!O53</f>
        <v>0</v>
      </c>
      <c r="L55" s="84">
        <f>INSCRIPCIONES!P53</f>
        <v>0</v>
      </c>
      <c r="M55" s="84" t="e">
        <f>SUM(TClasificacion[[#This Row],[TOTAL]:[SHOOT OFF]])</f>
        <v>#VALUE!</v>
      </c>
    </row>
    <row r="56" spans="1:13" x14ac:dyDescent="0.2">
      <c r="A56" s="78"/>
      <c r="B56" s="60"/>
      <c r="C56" s="84" t="str">
        <f>INSCRIPCIONES!E54</f>
        <v/>
      </c>
      <c r="D56" s="66" t="str">
        <f>INSCRIPCIONES!G54</f>
        <v/>
      </c>
      <c r="E56" s="66" t="str">
        <f>INSCRIPCIONES!I54</f>
        <v/>
      </c>
      <c r="F56" s="66" t="str">
        <f>INSCRIPCIONES!J54</f>
        <v/>
      </c>
      <c r="G56" s="66">
        <f>INSCRIPCIONES!K54</f>
        <v>0</v>
      </c>
      <c r="H56" s="66">
        <f>INSCRIPCIONES!L54</f>
        <v>0</v>
      </c>
      <c r="I56" s="66">
        <f>INSCRIPCIONES!M54</f>
        <v>0</v>
      </c>
      <c r="J56" s="66">
        <f>INSCRIPCIONES!N54</f>
        <v>0</v>
      </c>
      <c r="K56" s="66">
        <f>INSCRIPCIONES!O54</f>
        <v>0</v>
      </c>
      <c r="L56" s="84">
        <f>INSCRIPCIONES!P54</f>
        <v>0</v>
      </c>
      <c r="M56" s="84" t="e">
        <f>SUM(TClasificacion[[#This Row],[TOTAL]:[SHOOT OFF]])</f>
        <v>#VALUE!</v>
      </c>
    </row>
    <row r="57" spans="1:13" x14ac:dyDescent="0.2">
      <c r="A57" s="78"/>
      <c r="B57" s="60"/>
      <c r="C57" s="84" t="str">
        <f>INSCRIPCIONES!E55</f>
        <v/>
      </c>
      <c r="D57" s="66" t="str">
        <f>INSCRIPCIONES!G55</f>
        <v/>
      </c>
      <c r="E57" s="66" t="str">
        <f>INSCRIPCIONES!I55</f>
        <v/>
      </c>
      <c r="F57" s="66" t="str">
        <f>INSCRIPCIONES!J55</f>
        <v/>
      </c>
      <c r="G57" s="66">
        <f>INSCRIPCIONES!K55</f>
        <v>0</v>
      </c>
      <c r="H57" s="66">
        <f>INSCRIPCIONES!L55</f>
        <v>0</v>
      </c>
      <c r="I57" s="66">
        <f>INSCRIPCIONES!M55</f>
        <v>0</v>
      </c>
      <c r="J57" s="66">
        <f>INSCRIPCIONES!N55</f>
        <v>0</v>
      </c>
      <c r="K57" s="66">
        <f>INSCRIPCIONES!O55</f>
        <v>0</v>
      </c>
      <c r="L57" s="84">
        <f>INSCRIPCIONES!P55</f>
        <v>0</v>
      </c>
      <c r="M57" s="84" t="e">
        <f>SUM(TClasificacion[[#This Row],[TOTAL]:[SHOOT OFF]])</f>
        <v>#VALUE!</v>
      </c>
    </row>
    <row r="58" spans="1:13" x14ac:dyDescent="0.2">
      <c r="A58" s="78"/>
      <c r="B58" s="60"/>
      <c r="C58" s="84" t="str">
        <f>INSCRIPCIONES!E56</f>
        <v/>
      </c>
      <c r="D58" s="66" t="str">
        <f>INSCRIPCIONES!G56</f>
        <v/>
      </c>
      <c r="E58" s="66" t="str">
        <f>INSCRIPCIONES!I56</f>
        <v/>
      </c>
      <c r="F58" s="66" t="str">
        <f>INSCRIPCIONES!J56</f>
        <v/>
      </c>
      <c r="G58" s="66">
        <f>INSCRIPCIONES!K56</f>
        <v>0</v>
      </c>
      <c r="H58" s="66">
        <f>INSCRIPCIONES!L56</f>
        <v>0</v>
      </c>
      <c r="I58" s="66">
        <f>INSCRIPCIONES!M56</f>
        <v>0</v>
      </c>
      <c r="J58" s="66">
        <f>INSCRIPCIONES!N56</f>
        <v>0</v>
      </c>
      <c r="K58" s="66">
        <f>INSCRIPCIONES!O56</f>
        <v>0</v>
      </c>
      <c r="L58" s="84">
        <f>INSCRIPCIONES!P56</f>
        <v>0</v>
      </c>
      <c r="M58" s="84" t="e">
        <f>SUM(TClasificacion[[#This Row],[TOTAL]:[SHOOT OFF]])</f>
        <v>#VALUE!</v>
      </c>
    </row>
    <row r="59" spans="1:13" x14ac:dyDescent="0.2">
      <c r="A59" s="78"/>
      <c r="B59" s="60"/>
      <c r="C59" s="84" t="str">
        <f>INSCRIPCIONES!E57</f>
        <v/>
      </c>
      <c r="D59" s="66" t="str">
        <f>INSCRIPCIONES!G57</f>
        <v/>
      </c>
      <c r="E59" s="66" t="str">
        <f>INSCRIPCIONES!I57</f>
        <v/>
      </c>
      <c r="F59" s="66" t="str">
        <f>INSCRIPCIONES!J57</f>
        <v/>
      </c>
      <c r="G59" s="66">
        <f>INSCRIPCIONES!K57</f>
        <v>0</v>
      </c>
      <c r="H59" s="66">
        <f>INSCRIPCIONES!L57</f>
        <v>0</v>
      </c>
      <c r="I59" s="66">
        <f>INSCRIPCIONES!M57</f>
        <v>0</v>
      </c>
      <c r="J59" s="66">
        <f>INSCRIPCIONES!N57</f>
        <v>0</v>
      </c>
      <c r="K59" s="66">
        <f>INSCRIPCIONES!O57</f>
        <v>0</v>
      </c>
      <c r="L59" s="84">
        <f>INSCRIPCIONES!P57</f>
        <v>0</v>
      </c>
      <c r="M59" s="84" t="e">
        <f>SUM(TClasificacion[[#This Row],[TOTAL]:[SHOOT OFF]])</f>
        <v>#VALUE!</v>
      </c>
    </row>
    <row r="60" spans="1:13" x14ac:dyDescent="0.2">
      <c r="A60" s="78"/>
      <c r="B60" s="60"/>
      <c r="C60" s="84" t="str">
        <f>INSCRIPCIONES!E58</f>
        <v/>
      </c>
      <c r="D60" s="66" t="str">
        <f>INSCRIPCIONES!G58</f>
        <v/>
      </c>
      <c r="E60" s="66" t="str">
        <f>INSCRIPCIONES!I58</f>
        <v/>
      </c>
      <c r="F60" s="66" t="str">
        <f>INSCRIPCIONES!J58</f>
        <v/>
      </c>
      <c r="G60" s="66">
        <f>INSCRIPCIONES!K58</f>
        <v>0</v>
      </c>
      <c r="H60" s="66">
        <f>INSCRIPCIONES!L58</f>
        <v>0</v>
      </c>
      <c r="I60" s="66">
        <f>INSCRIPCIONES!M58</f>
        <v>0</v>
      </c>
      <c r="J60" s="66">
        <f>INSCRIPCIONES!N58</f>
        <v>0</v>
      </c>
      <c r="K60" s="66">
        <f>INSCRIPCIONES!O58</f>
        <v>0</v>
      </c>
      <c r="L60" s="84">
        <f>INSCRIPCIONES!P58</f>
        <v>0</v>
      </c>
      <c r="M60" s="84" t="e">
        <f>SUM(TClasificacion[[#This Row],[TOTAL]:[SHOOT OFF]])</f>
        <v>#VALUE!</v>
      </c>
    </row>
    <row r="61" spans="1:13" x14ac:dyDescent="0.2">
      <c r="A61" s="78"/>
      <c r="B61" s="60"/>
      <c r="C61" s="84" t="str">
        <f>INSCRIPCIONES!E59</f>
        <v/>
      </c>
      <c r="D61" s="66" t="str">
        <f>INSCRIPCIONES!G59</f>
        <v/>
      </c>
      <c r="E61" s="66" t="str">
        <f>INSCRIPCIONES!I59</f>
        <v/>
      </c>
      <c r="F61" s="66" t="str">
        <f>INSCRIPCIONES!J59</f>
        <v/>
      </c>
      <c r="G61" s="66">
        <f>INSCRIPCIONES!K59</f>
        <v>0</v>
      </c>
      <c r="H61" s="66">
        <f>INSCRIPCIONES!L59</f>
        <v>0</v>
      </c>
      <c r="I61" s="66">
        <f>INSCRIPCIONES!M59</f>
        <v>0</v>
      </c>
      <c r="J61" s="66">
        <f>INSCRIPCIONES!N59</f>
        <v>0</v>
      </c>
      <c r="K61" s="66">
        <f>INSCRIPCIONES!O59</f>
        <v>0</v>
      </c>
      <c r="L61" s="66">
        <f>INSCRIPCIONES!P59</f>
        <v>0</v>
      </c>
      <c r="M61" s="84" t="e">
        <f>SUM(TClasificacion[[#This Row],[TOTAL]:[SHOOT OFF]])</f>
        <v>#VALUE!</v>
      </c>
    </row>
    <row r="62" spans="1:13" x14ac:dyDescent="0.2">
      <c r="A62" s="78"/>
      <c r="B62" s="60"/>
      <c r="C62" s="84" t="str">
        <f>INSCRIPCIONES!E60</f>
        <v/>
      </c>
      <c r="D62" s="66" t="str">
        <f>INSCRIPCIONES!G60</f>
        <v/>
      </c>
      <c r="E62" s="66" t="str">
        <f>INSCRIPCIONES!I60</f>
        <v/>
      </c>
      <c r="F62" s="66" t="str">
        <f>INSCRIPCIONES!J60</f>
        <v/>
      </c>
      <c r="G62" s="66">
        <f>INSCRIPCIONES!K60</f>
        <v>0</v>
      </c>
      <c r="H62" s="66">
        <f>INSCRIPCIONES!L60</f>
        <v>0</v>
      </c>
      <c r="I62" s="66">
        <f>INSCRIPCIONES!M60</f>
        <v>0</v>
      </c>
      <c r="J62" s="66">
        <f>INSCRIPCIONES!N60</f>
        <v>0</v>
      </c>
      <c r="K62" s="66">
        <f>INSCRIPCIONES!O60</f>
        <v>0</v>
      </c>
      <c r="L62" s="66">
        <f>INSCRIPCIONES!P60</f>
        <v>0</v>
      </c>
      <c r="M62" s="84" t="e">
        <f>SUM(TClasificacion[[#This Row],[TOTAL]:[SHOOT OFF]])</f>
        <v>#VALUE!</v>
      </c>
    </row>
    <row r="63" spans="1:13" x14ac:dyDescent="0.2">
      <c r="A63" s="78"/>
      <c r="B63" s="60"/>
      <c r="C63" s="84" t="str">
        <f>INSCRIPCIONES!E61</f>
        <v/>
      </c>
      <c r="D63" s="66" t="str">
        <f>INSCRIPCIONES!G61</f>
        <v/>
      </c>
      <c r="E63" s="66" t="str">
        <f>INSCRIPCIONES!I61</f>
        <v/>
      </c>
      <c r="F63" s="66" t="str">
        <f>INSCRIPCIONES!J61</f>
        <v/>
      </c>
      <c r="G63" s="66">
        <f>INSCRIPCIONES!K61</f>
        <v>0</v>
      </c>
      <c r="H63" s="66">
        <f>INSCRIPCIONES!L61</f>
        <v>0</v>
      </c>
      <c r="I63" s="66">
        <f>INSCRIPCIONES!M61</f>
        <v>0</v>
      </c>
      <c r="J63" s="66">
        <f>INSCRIPCIONES!N61</f>
        <v>0</v>
      </c>
      <c r="K63" s="66">
        <f>INSCRIPCIONES!O61</f>
        <v>0</v>
      </c>
      <c r="L63" s="66">
        <f>INSCRIPCIONES!P61</f>
        <v>0</v>
      </c>
      <c r="M63" s="84" t="e">
        <f>SUM(TClasificacion[[#This Row],[TOTAL]:[SHOOT OFF]])</f>
        <v>#VALUE!</v>
      </c>
    </row>
    <row r="64" spans="1:13" x14ac:dyDescent="0.2">
      <c r="A64" s="78"/>
      <c r="B64" s="60"/>
      <c r="C64" s="84" t="str">
        <f>INSCRIPCIONES!E62</f>
        <v/>
      </c>
      <c r="D64" s="66" t="str">
        <f>INSCRIPCIONES!G62</f>
        <v/>
      </c>
      <c r="E64" s="66" t="str">
        <f>INSCRIPCIONES!I62</f>
        <v/>
      </c>
      <c r="F64" s="66" t="str">
        <f>INSCRIPCIONES!J62</f>
        <v/>
      </c>
      <c r="G64" s="66">
        <f>INSCRIPCIONES!K62</f>
        <v>0</v>
      </c>
      <c r="H64" s="66">
        <f>INSCRIPCIONES!L62</f>
        <v>0</v>
      </c>
      <c r="I64" s="66">
        <f>INSCRIPCIONES!M62</f>
        <v>0</v>
      </c>
      <c r="J64" s="66">
        <f>INSCRIPCIONES!N62</f>
        <v>0</v>
      </c>
      <c r="K64" s="66">
        <f>INSCRIPCIONES!O62</f>
        <v>0</v>
      </c>
      <c r="L64" s="66">
        <f>INSCRIPCIONES!P62</f>
        <v>0</v>
      </c>
      <c r="M64" s="84" t="e">
        <f>SUM(TClasificacion[[#This Row],[TOTAL]:[SHOOT OFF]])</f>
        <v>#VALUE!</v>
      </c>
    </row>
    <row r="65" spans="1:13" x14ac:dyDescent="0.2">
      <c r="A65" s="78"/>
      <c r="B65" s="60"/>
      <c r="C65" s="84" t="str">
        <f>INSCRIPCIONES!E63</f>
        <v/>
      </c>
      <c r="D65" s="66" t="str">
        <f>INSCRIPCIONES!G63</f>
        <v/>
      </c>
      <c r="E65" s="66" t="str">
        <f>INSCRIPCIONES!I63</f>
        <v/>
      </c>
      <c r="F65" s="66" t="str">
        <f>INSCRIPCIONES!J63</f>
        <v/>
      </c>
      <c r="G65" s="66">
        <f>INSCRIPCIONES!K63</f>
        <v>0</v>
      </c>
      <c r="H65" s="66">
        <f>INSCRIPCIONES!L63</f>
        <v>0</v>
      </c>
      <c r="I65" s="66">
        <f>INSCRIPCIONES!M63</f>
        <v>0</v>
      </c>
      <c r="J65" s="66">
        <f>INSCRIPCIONES!N63</f>
        <v>0</v>
      </c>
      <c r="K65" s="66">
        <f>INSCRIPCIONES!O63</f>
        <v>0</v>
      </c>
      <c r="L65" s="66">
        <f>INSCRIPCIONES!P63</f>
        <v>0</v>
      </c>
      <c r="M65" s="84" t="e">
        <f>SUM(TClasificacion[[#This Row],[TOTAL]:[SHOOT OFF]])</f>
        <v>#VALUE!</v>
      </c>
    </row>
    <row r="66" spans="1:13" x14ac:dyDescent="0.2">
      <c r="A66" s="119"/>
      <c r="B66" s="120"/>
      <c r="C66" s="121"/>
      <c r="D66" s="122"/>
      <c r="E66" s="122"/>
      <c r="F66" s="122"/>
      <c r="G66" s="122"/>
      <c r="H66" s="122"/>
      <c r="I66" s="122"/>
      <c r="J66" s="122"/>
      <c r="K66" s="122"/>
      <c r="L66" s="122"/>
      <c r="M66" s="121"/>
    </row>
    <row r="67" spans="1:13" x14ac:dyDescent="0.2">
      <c r="A67" s="78"/>
      <c r="B67" s="60"/>
      <c r="C67" s="84"/>
      <c r="D67" s="66"/>
      <c r="E67" s="66"/>
      <c r="F67" s="66"/>
      <c r="G67" s="66"/>
      <c r="H67" s="66"/>
      <c r="I67" s="66"/>
      <c r="J67" s="66"/>
      <c r="K67" s="66"/>
      <c r="L67" s="66"/>
      <c r="M67" s="84"/>
    </row>
    <row r="68" spans="1:13" x14ac:dyDescent="0.2">
      <c r="A68" s="78"/>
      <c r="B68" s="60"/>
      <c r="C68" s="84"/>
      <c r="D68" s="66"/>
      <c r="E68" s="66"/>
      <c r="F68" s="66"/>
      <c r="G68" s="66"/>
      <c r="H68" s="66"/>
      <c r="I68" s="66"/>
      <c r="J68" s="66"/>
      <c r="K68" s="66"/>
      <c r="L68" s="66"/>
      <c r="M68" s="84"/>
    </row>
    <row r="69" spans="1:13" x14ac:dyDescent="0.2">
      <c r="A69" s="78"/>
      <c r="B69" s="60"/>
      <c r="C69" s="84"/>
      <c r="D69" s="66"/>
      <c r="E69" s="66"/>
      <c r="F69" s="66"/>
      <c r="G69" s="66"/>
      <c r="H69" s="66"/>
      <c r="I69" s="66"/>
      <c r="J69" s="66"/>
      <c r="K69" s="66"/>
      <c r="L69" s="66"/>
      <c r="M69" s="84"/>
    </row>
    <row r="70" spans="1:13" x14ac:dyDescent="0.2">
      <c r="A70" s="78"/>
      <c r="B70" s="60"/>
      <c r="C70" s="84"/>
      <c r="D70" s="66"/>
      <c r="E70" s="66"/>
      <c r="F70" s="66"/>
      <c r="G70" s="66"/>
      <c r="H70" s="66"/>
      <c r="I70" s="66"/>
      <c r="J70" s="66"/>
      <c r="K70" s="66"/>
      <c r="L70" s="66"/>
      <c r="M70" s="84"/>
    </row>
    <row r="71" spans="1:13" x14ac:dyDescent="0.2">
      <c r="A71" s="78"/>
      <c r="B71" s="60"/>
      <c r="C71" s="84"/>
      <c r="D71" s="66"/>
      <c r="E71" s="66"/>
      <c r="F71" s="66"/>
      <c r="G71" s="66"/>
      <c r="H71" s="66"/>
      <c r="I71" s="66"/>
      <c r="J71" s="66"/>
      <c r="K71" s="66"/>
      <c r="L71" s="66"/>
      <c r="M71" s="84"/>
    </row>
    <row r="72" spans="1:13" x14ac:dyDescent="0.2">
      <c r="A72" s="78"/>
      <c r="B72" s="60"/>
      <c r="C72" s="84"/>
      <c r="D72" s="66"/>
      <c r="E72" s="66"/>
      <c r="F72" s="66"/>
      <c r="G72" s="66"/>
      <c r="H72" s="66"/>
      <c r="I72" s="66"/>
      <c r="J72" s="66"/>
      <c r="K72" s="66"/>
      <c r="L72" s="66"/>
      <c r="M72" s="84"/>
    </row>
    <row r="73" spans="1:13" x14ac:dyDescent="0.2">
      <c r="A73" s="78"/>
      <c r="B73" s="60"/>
      <c r="C73" s="84"/>
      <c r="D73" s="66"/>
      <c r="E73" s="66"/>
      <c r="F73" s="66"/>
      <c r="G73" s="66"/>
      <c r="H73" s="66"/>
      <c r="I73" s="66"/>
      <c r="J73" s="66"/>
      <c r="K73" s="66"/>
      <c r="L73" s="66"/>
      <c r="M73" s="84"/>
    </row>
    <row r="74" spans="1:13" x14ac:dyDescent="0.2">
      <c r="A74" s="78"/>
      <c r="B74" s="60"/>
      <c r="C74" s="84"/>
      <c r="D74" s="66"/>
      <c r="E74" s="66"/>
      <c r="F74" s="66"/>
      <c r="G74" s="66"/>
      <c r="H74" s="66"/>
      <c r="I74" s="66"/>
      <c r="J74" s="66"/>
      <c r="K74" s="66"/>
      <c r="L74" s="66"/>
      <c r="M74" s="84"/>
    </row>
    <row r="75" spans="1:13" x14ac:dyDescent="0.2">
      <c r="A75" s="78"/>
      <c r="B75" s="60"/>
      <c r="C75" s="84"/>
      <c r="D75" s="66"/>
      <c r="E75" s="66"/>
      <c r="F75" s="66"/>
      <c r="G75" s="66"/>
      <c r="H75" s="66"/>
      <c r="I75" s="66"/>
      <c r="J75" s="66"/>
      <c r="K75" s="66"/>
      <c r="L75" s="66"/>
      <c r="M75" s="84"/>
    </row>
    <row r="76" spans="1:13" x14ac:dyDescent="0.2">
      <c r="A76" s="78"/>
      <c r="B76" s="60"/>
      <c r="C76" s="84"/>
      <c r="D76" s="66"/>
      <c r="E76" s="66"/>
      <c r="F76" s="66"/>
      <c r="G76" s="66"/>
      <c r="H76" s="66"/>
      <c r="I76" s="66"/>
      <c r="J76" s="66"/>
      <c r="K76" s="66"/>
      <c r="L76" s="66"/>
      <c r="M76" s="84"/>
    </row>
    <row r="77" spans="1:13" x14ac:dyDescent="0.2">
      <c r="A77" s="78"/>
      <c r="B77" s="60"/>
      <c r="C77" s="84"/>
      <c r="D77" s="66"/>
      <c r="E77" s="66"/>
      <c r="F77" s="66"/>
      <c r="G77" s="66"/>
      <c r="H77" s="66"/>
      <c r="I77" s="66"/>
      <c r="J77" s="66"/>
      <c r="K77" s="66"/>
      <c r="L77" s="66"/>
      <c r="M77" s="84"/>
    </row>
    <row r="78" spans="1:13" x14ac:dyDescent="0.2">
      <c r="A78" s="78"/>
      <c r="B78" s="60"/>
      <c r="C78" s="84"/>
      <c r="D78" s="66"/>
      <c r="E78" s="66"/>
      <c r="F78" s="66"/>
      <c r="G78" s="66"/>
      <c r="H78" s="66"/>
      <c r="I78" s="66"/>
      <c r="J78" s="66"/>
      <c r="K78" s="66"/>
      <c r="L78" s="66"/>
      <c r="M78" s="84"/>
    </row>
    <row r="79" spans="1:13" x14ac:dyDescent="0.2">
      <c r="A79" s="78"/>
      <c r="B79" s="60"/>
      <c r="C79" s="84"/>
      <c r="D79" s="66"/>
      <c r="E79" s="66"/>
      <c r="F79" s="66"/>
      <c r="G79" s="66"/>
      <c r="H79" s="66"/>
      <c r="I79" s="66"/>
      <c r="J79" s="66"/>
      <c r="K79" s="66"/>
      <c r="L79" s="66"/>
      <c r="M79" s="84"/>
    </row>
    <row r="80" spans="1:13" x14ac:dyDescent="0.2">
      <c r="A80" s="78"/>
      <c r="B80" s="60"/>
      <c r="C80" s="84"/>
      <c r="D80" s="66"/>
      <c r="E80" s="66"/>
      <c r="F80" s="66"/>
      <c r="G80" s="66"/>
      <c r="H80" s="66"/>
      <c r="I80" s="66"/>
      <c r="J80" s="66"/>
      <c r="K80" s="66"/>
      <c r="L80" s="66"/>
      <c r="M80" s="84"/>
    </row>
    <row r="81" spans="1:13" x14ac:dyDescent="0.2">
      <c r="A81" s="78"/>
      <c r="B81" s="60"/>
      <c r="C81" s="84"/>
      <c r="D81" s="66"/>
      <c r="E81" s="66"/>
      <c r="F81" s="66"/>
      <c r="G81" s="66"/>
      <c r="H81" s="66"/>
      <c r="I81" s="66"/>
      <c r="J81" s="66"/>
      <c r="K81" s="66"/>
      <c r="L81" s="66"/>
      <c r="M81" s="84"/>
    </row>
    <row r="82" spans="1:13" x14ac:dyDescent="0.2">
      <c r="A82" s="78"/>
      <c r="B82" s="60"/>
      <c r="C82" s="84"/>
      <c r="D82" s="66"/>
      <c r="E82" s="66"/>
      <c r="F82" s="66"/>
      <c r="G82" s="66"/>
      <c r="H82" s="66"/>
      <c r="I82" s="66"/>
      <c r="J82" s="66"/>
      <c r="K82" s="66"/>
      <c r="L82" s="66"/>
      <c r="M82" s="84"/>
    </row>
    <row r="83" spans="1:13" x14ac:dyDescent="0.2">
      <c r="A83" s="78"/>
      <c r="B83" s="60"/>
      <c r="C83" s="84"/>
      <c r="D83" s="66"/>
      <c r="E83" s="66"/>
      <c r="F83" s="66"/>
      <c r="G83" s="66"/>
      <c r="H83" s="66"/>
      <c r="I83" s="66"/>
      <c r="J83" s="66"/>
      <c r="K83" s="66"/>
      <c r="L83" s="66"/>
      <c r="M83" s="84"/>
    </row>
    <row r="84" spans="1:13" x14ac:dyDescent="0.2">
      <c r="A84" s="78"/>
      <c r="B84" s="60"/>
      <c r="C84" s="84"/>
      <c r="D84" s="66"/>
      <c r="E84" s="66"/>
      <c r="F84" s="66"/>
      <c r="G84" s="66"/>
      <c r="H84" s="66"/>
      <c r="I84" s="66"/>
      <c r="J84" s="66"/>
      <c r="K84" s="66"/>
      <c r="L84" s="66"/>
      <c r="M84" s="84"/>
    </row>
    <row r="85" spans="1:13" x14ac:dyDescent="0.2">
      <c r="A85" s="78"/>
      <c r="B85" s="60"/>
      <c r="C85" s="84"/>
      <c r="D85" s="66"/>
      <c r="E85" s="66"/>
      <c r="F85" s="66"/>
      <c r="G85" s="66"/>
      <c r="H85" s="66"/>
      <c r="I85" s="66"/>
      <c r="J85" s="66"/>
      <c r="K85" s="66"/>
      <c r="L85" s="66"/>
      <c r="M85" s="84"/>
    </row>
    <row r="86" spans="1:13" x14ac:dyDescent="0.2">
      <c r="A86" s="78"/>
      <c r="B86" s="60"/>
      <c r="C86" s="84"/>
      <c r="D86" s="66"/>
      <c r="E86" s="66"/>
      <c r="F86" s="66"/>
      <c r="G86" s="66"/>
      <c r="H86" s="66"/>
      <c r="I86" s="66"/>
      <c r="J86" s="66"/>
      <c r="K86" s="66"/>
      <c r="L86" s="66"/>
      <c r="M86" s="84"/>
    </row>
    <row r="87" spans="1:13" x14ac:dyDescent="0.2">
      <c r="A87" s="78"/>
      <c r="B87" s="60"/>
      <c r="C87" s="84"/>
      <c r="D87" s="66"/>
      <c r="E87" s="66"/>
      <c r="F87" s="66"/>
      <c r="G87" s="66"/>
      <c r="H87" s="66"/>
      <c r="I87" s="66"/>
      <c r="J87" s="66"/>
      <c r="K87" s="66"/>
      <c r="L87" s="66"/>
      <c r="M87" s="84"/>
    </row>
    <row r="88" spans="1:13" x14ac:dyDescent="0.2">
      <c r="A88" s="78"/>
      <c r="B88" s="60"/>
      <c r="C88" s="84"/>
      <c r="D88" s="66"/>
      <c r="E88" s="66"/>
      <c r="F88" s="66"/>
      <c r="G88" s="66"/>
      <c r="H88" s="66"/>
      <c r="I88" s="66"/>
      <c r="J88" s="66"/>
      <c r="K88" s="66"/>
      <c r="L88" s="66"/>
      <c r="M88" s="84"/>
    </row>
    <row r="89" spans="1:13" x14ac:dyDescent="0.2">
      <c r="A89" s="78"/>
      <c r="B89" s="60"/>
      <c r="C89" s="84"/>
      <c r="D89" s="66"/>
      <c r="E89" s="66"/>
      <c r="F89" s="66"/>
      <c r="G89" s="66"/>
      <c r="H89" s="66"/>
      <c r="I89" s="66"/>
      <c r="J89" s="66"/>
      <c r="K89" s="66"/>
      <c r="L89" s="66"/>
      <c r="M89" s="84"/>
    </row>
    <row r="90" spans="1:13" x14ac:dyDescent="0.2">
      <c r="A90" s="78"/>
      <c r="B90" s="60"/>
      <c r="C90" s="84"/>
      <c r="D90" s="66"/>
      <c r="E90" s="66"/>
      <c r="F90" s="66"/>
      <c r="G90" s="66"/>
      <c r="H90" s="66"/>
      <c r="I90" s="66"/>
      <c r="J90" s="66"/>
      <c r="K90" s="66"/>
      <c r="L90" s="66"/>
      <c r="M90" s="84"/>
    </row>
    <row r="91" spans="1:13" x14ac:dyDescent="0.2">
      <c r="A91" s="78"/>
      <c r="B91" s="60"/>
      <c r="C91" s="84"/>
      <c r="D91" s="66"/>
      <c r="E91" s="66"/>
      <c r="F91" s="66"/>
      <c r="G91" s="66"/>
      <c r="H91" s="66"/>
      <c r="I91" s="66"/>
      <c r="J91" s="66"/>
      <c r="K91" s="66"/>
      <c r="L91" s="66"/>
      <c r="M91" s="84"/>
    </row>
    <row r="92" spans="1:13" x14ac:dyDescent="0.2">
      <c r="A92" s="78"/>
      <c r="B92" s="60"/>
      <c r="C92" s="84"/>
      <c r="D92" s="66"/>
      <c r="E92" s="66"/>
      <c r="F92" s="66"/>
      <c r="G92" s="66"/>
      <c r="H92" s="66"/>
      <c r="I92" s="66"/>
      <c r="J92" s="66"/>
      <c r="K92" s="66"/>
      <c r="L92" s="66"/>
      <c r="M92" s="84"/>
    </row>
    <row r="93" spans="1:13" x14ac:dyDescent="0.2">
      <c r="A93" s="78"/>
      <c r="B93" s="60"/>
      <c r="C93" s="84"/>
      <c r="D93" s="66"/>
      <c r="E93" s="66"/>
      <c r="F93" s="66"/>
      <c r="G93" s="66"/>
      <c r="H93" s="66"/>
      <c r="I93" s="66"/>
      <c r="J93" s="66"/>
      <c r="K93" s="66"/>
      <c r="L93" s="66"/>
      <c r="M93" s="84"/>
    </row>
    <row r="94" spans="1:13" x14ac:dyDescent="0.2">
      <c r="A94" s="78"/>
      <c r="B94" s="60"/>
      <c r="C94" s="84"/>
      <c r="D94" s="66"/>
      <c r="E94" s="66"/>
      <c r="F94" s="66"/>
      <c r="G94" s="66"/>
      <c r="H94" s="66"/>
      <c r="I94" s="66"/>
      <c r="J94" s="66"/>
      <c r="K94" s="66"/>
      <c r="L94" s="66"/>
      <c r="M94" s="84"/>
    </row>
    <row r="95" spans="1:13" x14ac:dyDescent="0.2">
      <c r="A95" s="78"/>
      <c r="B95" s="60"/>
      <c r="C95" s="84"/>
      <c r="D95" s="66"/>
      <c r="E95" s="66"/>
      <c r="F95" s="66"/>
      <c r="G95" s="66"/>
      <c r="H95" s="66"/>
      <c r="I95" s="66"/>
      <c r="J95" s="66"/>
      <c r="K95" s="66"/>
      <c r="L95" s="66"/>
      <c r="M95" s="84"/>
    </row>
    <row r="96" spans="1:13" x14ac:dyDescent="0.2">
      <c r="A96" s="78"/>
      <c r="B96" s="60"/>
      <c r="C96" s="84"/>
      <c r="D96" s="66"/>
      <c r="E96" s="66"/>
      <c r="F96" s="66"/>
      <c r="G96" s="66"/>
      <c r="H96" s="66"/>
      <c r="I96" s="66"/>
      <c r="J96" s="66"/>
      <c r="K96" s="66"/>
      <c r="L96" s="66"/>
      <c r="M96" s="84"/>
    </row>
    <row r="97" spans="1:13" x14ac:dyDescent="0.2">
      <c r="A97" s="78"/>
      <c r="B97" s="60"/>
      <c r="C97" s="84"/>
      <c r="D97" s="66"/>
      <c r="E97" s="66"/>
      <c r="F97" s="66"/>
      <c r="G97" s="66"/>
      <c r="H97" s="66"/>
      <c r="I97" s="66"/>
      <c r="J97" s="66"/>
      <c r="K97" s="66"/>
      <c r="L97" s="66"/>
      <c r="M97" s="84"/>
    </row>
    <row r="98" spans="1:13" x14ac:dyDescent="0.2">
      <c r="A98" s="78"/>
      <c r="B98" s="60"/>
      <c r="C98" s="84"/>
      <c r="D98" s="66"/>
      <c r="E98" s="66"/>
      <c r="F98" s="66"/>
      <c r="G98" s="66"/>
      <c r="H98" s="66"/>
      <c r="I98" s="66"/>
      <c r="J98" s="66"/>
      <c r="K98" s="66"/>
      <c r="L98" s="66"/>
      <c r="M98" s="84"/>
    </row>
    <row r="99" spans="1:13" x14ac:dyDescent="0.2">
      <c r="A99" s="78"/>
      <c r="B99" s="60"/>
      <c r="C99" s="84"/>
      <c r="D99" s="66"/>
      <c r="E99" s="66"/>
      <c r="F99" s="66"/>
      <c r="G99" s="66"/>
      <c r="H99" s="66"/>
      <c r="I99" s="66"/>
      <c r="J99" s="66"/>
      <c r="K99" s="66"/>
      <c r="L99" s="66"/>
      <c r="M99" s="84"/>
    </row>
    <row r="100" spans="1:13" x14ac:dyDescent="0.2">
      <c r="A100" s="78"/>
      <c r="B100" s="60"/>
      <c r="C100" s="84"/>
      <c r="D100" s="66"/>
      <c r="E100" s="66"/>
      <c r="F100" s="66"/>
      <c r="G100" s="66"/>
      <c r="H100" s="66"/>
      <c r="I100" s="66"/>
      <c r="J100" s="66"/>
      <c r="K100" s="66"/>
      <c r="L100" s="66"/>
      <c r="M100" s="84"/>
    </row>
    <row r="101" spans="1:13" x14ac:dyDescent="0.2">
      <c r="A101" s="78"/>
      <c r="B101" s="60"/>
      <c r="C101" s="84"/>
      <c r="D101" s="66"/>
      <c r="E101" s="66"/>
      <c r="F101" s="66"/>
      <c r="G101" s="66"/>
      <c r="H101" s="66"/>
      <c r="I101" s="66"/>
      <c r="J101" s="66"/>
      <c r="K101" s="66"/>
      <c r="L101" s="66"/>
      <c r="M101" s="84"/>
    </row>
    <row r="102" spans="1:13" x14ac:dyDescent="0.2">
      <c r="A102" s="78"/>
      <c r="B102" s="60"/>
      <c r="C102" s="84"/>
      <c r="D102" s="66"/>
      <c r="E102" s="66"/>
      <c r="F102" s="66"/>
      <c r="G102" s="66"/>
      <c r="H102" s="66"/>
      <c r="I102" s="66"/>
      <c r="J102" s="66"/>
      <c r="K102" s="66"/>
      <c r="L102" s="66"/>
      <c r="M102" s="84"/>
    </row>
    <row r="103" spans="1:13" x14ac:dyDescent="0.2">
      <c r="A103" s="78"/>
      <c r="B103" s="60"/>
      <c r="C103" s="84"/>
      <c r="D103" s="66"/>
      <c r="E103" s="66"/>
      <c r="F103" s="66"/>
      <c r="G103" s="66"/>
      <c r="H103" s="66"/>
      <c r="I103" s="66"/>
      <c r="J103" s="66"/>
      <c r="K103" s="66"/>
      <c r="L103" s="66"/>
      <c r="M103" s="84"/>
    </row>
    <row r="104" spans="1:13" x14ac:dyDescent="0.2">
      <c r="A104" s="78"/>
      <c r="B104" s="60"/>
      <c r="C104" s="84"/>
      <c r="D104" s="66"/>
      <c r="E104" s="66"/>
      <c r="F104" s="66"/>
      <c r="G104" s="66"/>
      <c r="H104" s="66"/>
      <c r="I104" s="66"/>
      <c r="J104" s="66"/>
      <c r="K104" s="66"/>
      <c r="L104" s="66"/>
      <c r="M104" s="84"/>
    </row>
    <row r="105" spans="1:13" x14ac:dyDescent="0.2">
      <c r="A105" s="78"/>
      <c r="B105" s="60"/>
      <c r="C105" s="84"/>
      <c r="D105" s="66"/>
      <c r="E105" s="66"/>
      <c r="F105" s="66"/>
      <c r="G105" s="66"/>
      <c r="H105" s="66"/>
      <c r="I105" s="66"/>
      <c r="J105" s="66"/>
      <c r="K105" s="66"/>
      <c r="L105" s="66"/>
      <c r="M105" s="84"/>
    </row>
    <row r="106" spans="1:13" x14ac:dyDescent="0.2">
      <c r="A106" s="78"/>
      <c r="B106" s="60"/>
      <c r="C106" s="84"/>
      <c r="D106" s="66"/>
      <c r="E106" s="66"/>
      <c r="F106" s="66"/>
      <c r="G106" s="66"/>
      <c r="H106" s="66"/>
      <c r="I106" s="66"/>
      <c r="J106" s="66"/>
      <c r="K106" s="66"/>
      <c r="L106" s="66"/>
      <c r="M106" s="84"/>
    </row>
    <row r="107" spans="1:13" x14ac:dyDescent="0.2">
      <c r="A107" s="78"/>
      <c r="B107" s="60"/>
      <c r="C107" s="84"/>
      <c r="D107" s="66"/>
      <c r="E107" s="66"/>
      <c r="F107" s="66"/>
      <c r="G107" s="66"/>
      <c r="H107" s="66"/>
      <c r="I107" s="66"/>
      <c r="J107" s="66"/>
      <c r="K107" s="66"/>
      <c r="L107" s="66"/>
      <c r="M107" s="84"/>
    </row>
    <row r="108" spans="1:13" x14ac:dyDescent="0.2">
      <c r="A108" s="78"/>
      <c r="B108" s="60"/>
      <c r="C108" s="84"/>
      <c r="D108" s="66"/>
      <c r="E108" s="66"/>
      <c r="F108" s="66"/>
      <c r="G108" s="66"/>
      <c r="H108" s="66"/>
      <c r="I108" s="66"/>
      <c r="J108" s="66"/>
      <c r="K108" s="66"/>
      <c r="L108" s="66"/>
      <c r="M108" s="84"/>
    </row>
    <row r="109" spans="1:13" x14ac:dyDescent="0.2">
      <c r="A109" s="78"/>
      <c r="B109" s="60"/>
      <c r="C109" s="84"/>
      <c r="D109" s="66"/>
      <c r="E109" s="66"/>
      <c r="F109" s="66"/>
      <c r="G109" s="66"/>
      <c r="H109" s="66"/>
      <c r="I109" s="66"/>
      <c r="J109" s="66"/>
      <c r="K109" s="66"/>
      <c r="L109" s="66"/>
      <c r="M109" s="84"/>
    </row>
    <row r="110" spans="1:13" x14ac:dyDescent="0.2">
      <c r="A110" s="78"/>
      <c r="B110" s="60"/>
      <c r="C110" s="84"/>
      <c r="D110" s="66"/>
      <c r="E110" s="66"/>
      <c r="F110" s="66"/>
      <c r="G110" s="66"/>
      <c r="H110" s="66"/>
      <c r="I110" s="66"/>
      <c r="J110" s="66"/>
      <c r="K110" s="66"/>
      <c r="L110" s="66"/>
      <c r="M110" s="84"/>
    </row>
    <row r="111" spans="1:13" x14ac:dyDescent="0.2">
      <c r="A111" s="78"/>
      <c r="B111" s="60"/>
      <c r="C111" s="84"/>
      <c r="D111" s="66"/>
      <c r="E111" s="66"/>
      <c r="F111" s="66"/>
      <c r="G111" s="66"/>
      <c r="H111" s="66"/>
      <c r="I111" s="66"/>
      <c r="J111" s="66"/>
      <c r="K111" s="66"/>
      <c r="L111" s="66"/>
      <c r="M111" s="84"/>
    </row>
    <row r="112" spans="1:13" x14ac:dyDescent="0.2">
      <c r="A112" s="78"/>
      <c r="B112" s="60"/>
      <c r="C112" s="84"/>
      <c r="D112" s="66"/>
      <c r="E112" s="66"/>
      <c r="F112" s="66"/>
      <c r="G112" s="66"/>
      <c r="H112" s="66"/>
      <c r="I112" s="66"/>
      <c r="J112" s="66"/>
      <c r="K112" s="66"/>
      <c r="L112" s="66"/>
      <c r="M112" s="84"/>
    </row>
    <row r="113" spans="1:13" x14ac:dyDescent="0.2">
      <c r="A113" s="78"/>
      <c r="B113" s="60"/>
      <c r="C113" s="84"/>
      <c r="D113" s="66"/>
      <c r="E113" s="66"/>
      <c r="F113" s="66"/>
      <c r="G113" s="66"/>
      <c r="H113" s="66"/>
      <c r="I113" s="66"/>
      <c r="J113" s="66"/>
      <c r="K113" s="66"/>
      <c r="L113" s="66"/>
      <c r="M113" s="84"/>
    </row>
    <row r="114" spans="1:13" x14ac:dyDescent="0.2">
      <c r="A114" s="78"/>
      <c r="B114" s="60"/>
      <c r="C114" s="84"/>
      <c r="D114" s="66"/>
      <c r="E114" s="66"/>
      <c r="F114" s="66"/>
      <c r="G114" s="66"/>
      <c r="H114" s="66"/>
      <c r="I114" s="66"/>
      <c r="J114" s="66"/>
      <c r="K114" s="66"/>
      <c r="L114" s="66"/>
      <c r="M114" s="84"/>
    </row>
    <row r="115" spans="1:13" x14ac:dyDescent="0.2">
      <c r="A115" s="78"/>
      <c r="B115" s="60"/>
      <c r="C115" s="84"/>
      <c r="D115" s="66"/>
      <c r="E115" s="66"/>
      <c r="F115" s="66"/>
      <c r="G115" s="66"/>
      <c r="H115" s="66"/>
      <c r="I115" s="66"/>
      <c r="J115" s="66"/>
      <c r="K115" s="66"/>
      <c r="L115" s="66"/>
      <c r="M115" s="84"/>
    </row>
    <row r="116" spans="1:13" x14ac:dyDescent="0.2">
      <c r="A116" s="78"/>
      <c r="B116" s="60"/>
      <c r="C116" s="84"/>
      <c r="D116" s="66"/>
      <c r="E116" s="66"/>
      <c r="F116" s="66"/>
      <c r="G116" s="66"/>
      <c r="H116" s="66"/>
      <c r="I116" s="66"/>
      <c r="J116" s="66"/>
      <c r="K116" s="66"/>
      <c r="L116" s="66"/>
      <c r="M116" s="84"/>
    </row>
    <row r="117" spans="1:13" x14ac:dyDescent="0.2">
      <c r="A117" s="78"/>
      <c r="B117" s="60"/>
      <c r="C117" s="84"/>
      <c r="D117" s="66"/>
      <c r="E117" s="66"/>
      <c r="F117" s="66"/>
      <c r="G117" s="66"/>
      <c r="H117" s="66"/>
      <c r="I117" s="66"/>
      <c r="J117" s="66"/>
      <c r="K117" s="66"/>
      <c r="L117" s="66"/>
      <c r="M117" s="84"/>
    </row>
    <row r="118" spans="1:13" x14ac:dyDescent="0.2">
      <c r="A118" s="78"/>
      <c r="B118" s="60"/>
      <c r="C118" s="84"/>
      <c r="D118" s="66"/>
      <c r="E118" s="66"/>
      <c r="F118" s="66"/>
      <c r="G118" s="66"/>
      <c r="H118" s="66"/>
      <c r="I118" s="66"/>
      <c r="J118" s="66"/>
      <c r="K118" s="66"/>
      <c r="L118" s="66"/>
      <c r="M118" s="84"/>
    </row>
    <row r="119" spans="1:13" x14ac:dyDescent="0.2">
      <c r="A119" s="78"/>
      <c r="B119" s="60"/>
      <c r="C119" s="84"/>
      <c r="D119" s="66"/>
      <c r="E119" s="66"/>
      <c r="F119" s="66"/>
      <c r="G119" s="66"/>
      <c r="H119" s="66"/>
      <c r="I119" s="66"/>
      <c r="J119" s="66"/>
      <c r="K119" s="66"/>
      <c r="L119" s="66"/>
      <c r="M119" s="84"/>
    </row>
    <row r="120" spans="1:13" x14ac:dyDescent="0.2">
      <c r="A120" s="78"/>
      <c r="B120" s="60"/>
      <c r="C120" s="84"/>
      <c r="D120" s="66"/>
      <c r="E120" s="66"/>
      <c r="F120" s="66"/>
      <c r="G120" s="66"/>
      <c r="H120" s="66"/>
      <c r="I120" s="66"/>
      <c r="J120" s="66"/>
      <c r="K120" s="66"/>
      <c r="L120" s="66"/>
      <c r="M120" s="84"/>
    </row>
    <row r="121" spans="1:13" x14ac:dyDescent="0.2">
      <c r="A121" s="78"/>
      <c r="B121" s="60"/>
      <c r="C121" s="84"/>
      <c r="D121" s="66"/>
      <c r="E121" s="66"/>
      <c r="F121" s="66"/>
      <c r="G121" s="66"/>
      <c r="H121" s="66"/>
      <c r="I121" s="66"/>
      <c r="J121" s="66"/>
      <c r="K121" s="66"/>
      <c r="L121" s="66"/>
      <c r="M121" s="84"/>
    </row>
    <row r="122" spans="1:13" x14ac:dyDescent="0.2">
      <c r="A122" s="78"/>
      <c r="B122" s="60"/>
      <c r="C122" s="84"/>
      <c r="D122" s="66"/>
      <c r="E122" s="66"/>
      <c r="F122" s="66"/>
      <c r="G122" s="66"/>
      <c r="H122" s="66"/>
      <c r="I122" s="66"/>
      <c r="J122" s="66"/>
      <c r="K122" s="66"/>
      <c r="L122" s="66"/>
      <c r="M122" s="84"/>
    </row>
    <row r="123" spans="1:13" x14ac:dyDescent="0.2">
      <c r="A123" s="78"/>
      <c r="B123" s="60"/>
      <c r="C123" s="84"/>
      <c r="D123" s="66"/>
      <c r="E123" s="66"/>
      <c r="F123" s="66"/>
      <c r="G123" s="66"/>
      <c r="H123" s="66"/>
      <c r="I123" s="66"/>
      <c r="J123" s="66"/>
      <c r="K123" s="66"/>
      <c r="L123" s="66"/>
      <c r="M123" s="84"/>
    </row>
    <row r="124" spans="1:13" x14ac:dyDescent="0.2">
      <c r="A124" s="78"/>
      <c r="B124" s="60"/>
      <c r="C124" s="84"/>
      <c r="D124" s="66"/>
      <c r="E124" s="66"/>
      <c r="F124" s="66"/>
      <c r="G124" s="66"/>
      <c r="H124" s="66"/>
      <c r="I124" s="66"/>
      <c r="J124" s="66"/>
      <c r="K124" s="66"/>
      <c r="L124" s="66"/>
      <c r="M124" s="84"/>
    </row>
    <row r="125" spans="1:13" x14ac:dyDescent="0.2">
      <c r="A125" s="78"/>
      <c r="B125" s="60"/>
      <c r="C125" s="84"/>
      <c r="D125" s="66"/>
      <c r="E125" s="66"/>
      <c r="F125" s="66"/>
      <c r="G125" s="66"/>
      <c r="H125" s="66"/>
      <c r="I125" s="66"/>
      <c r="J125" s="66"/>
      <c r="K125" s="66"/>
      <c r="L125" s="66"/>
      <c r="M125" s="84"/>
    </row>
    <row r="126" spans="1:13" x14ac:dyDescent="0.2">
      <c r="A126" s="78"/>
      <c r="B126" s="60"/>
      <c r="C126" s="84"/>
      <c r="D126" s="66"/>
      <c r="E126" s="66"/>
      <c r="F126" s="66"/>
      <c r="G126" s="66"/>
      <c r="H126" s="66"/>
      <c r="I126" s="66"/>
      <c r="J126" s="66"/>
      <c r="K126" s="66"/>
      <c r="L126" s="66"/>
      <c r="M126" s="84"/>
    </row>
    <row r="127" spans="1:13" x14ac:dyDescent="0.2">
      <c r="A127" s="78"/>
      <c r="B127" s="60"/>
      <c r="C127" s="84"/>
      <c r="D127" s="66"/>
      <c r="E127" s="66"/>
      <c r="F127" s="66"/>
      <c r="G127" s="66"/>
      <c r="H127" s="66"/>
      <c r="I127" s="66"/>
      <c r="J127" s="66"/>
      <c r="K127" s="66"/>
      <c r="L127" s="66"/>
      <c r="M127" s="84"/>
    </row>
    <row r="128" spans="1:13" x14ac:dyDescent="0.2">
      <c r="A128" s="78"/>
      <c r="B128" s="60"/>
      <c r="C128" s="84"/>
      <c r="D128" s="66"/>
      <c r="E128" s="66"/>
      <c r="F128" s="66"/>
      <c r="G128" s="66"/>
      <c r="H128" s="66"/>
      <c r="I128" s="66"/>
      <c r="J128" s="66"/>
      <c r="K128" s="66"/>
      <c r="L128" s="66"/>
      <c r="M128" s="84"/>
    </row>
    <row r="129" spans="1:13" x14ac:dyDescent="0.2">
      <c r="A129" s="78"/>
      <c r="B129" s="60"/>
      <c r="C129" s="84"/>
      <c r="D129" s="66"/>
      <c r="E129" s="66"/>
      <c r="F129" s="66"/>
      <c r="G129" s="66"/>
      <c r="H129" s="66"/>
      <c r="I129" s="66"/>
      <c r="J129" s="66"/>
      <c r="K129" s="66"/>
      <c r="L129" s="66"/>
      <c r="M129" s="84"/>
    </row>
    <row r="130" spans="1:13" x14ac:dyDescent="0.2">
      <c r="A130" s="78"/>
      <c r="B130" s="60"/>
      <c r="C130" s="84"/>
      <c r="D130" s="66"/>
      <c r="E130" s="66"/>
      <c r="F130" s="66"/>
      <c r="G130" s="66"/>
      <c r="H130" s="66"/>
      <c r="I130" s="66"/>
      <c r="J130" s="66"/>
      <c r="K130" s="66"/>
      <c r="L130" s="66"/>
      <c r="M130" s="84"/>
    </row>
    <row r="131" spans="1:13" x14ac:dyDescent="0.2">
      <c r="A131" s="78"/>
      <c r="B131" s="60"/>
      <c r="C131" s="84"/>
      <c r="D131" s="66"/>
      <c r="E131" s="66"/>
      <c r="F131" s="66"/>
      <c r="G131" s="66"/>
      <c r="H131" s="66"/>
      <c r="I131" s="66"/>
      <c r="J131" s="66"/>
      <c r="K131" s="66"/>
      <c r="L131" s="66"/>
      <c r="M131" s="84"/>
    </row>
    <row r="132" spans="1:13" x14ac:dyDescent="0.2">
      <c r="A132" s="79"/>
      <c r="B132" s="60"/>
      <c r="C132" s="84"/>
      <c r="D132" s="66"/>
      <c r="E132" s="66"/>
      <c r="F132" s="66"/>
      <c r="G132" s="66"/>
      <c r="H132" s="66"/>
      <c r="I132" s="66"/>
      <c r="J132" s="66"/>
      <c r="K132" s="66"/>
      <c r="L132" s="66"/>
      <c r="M132" s="84"/>
    </row>
    <row r="133" spans="1:13" x14ac:dyDescent="0.2">
      <c r="A133" s="79"/>
      <c r="B133" s="60"/>
      <c r="C133" s="84"/>
      <c r="D133" s="66"/>
      <c r="E133" s="66"/>
      <c r="F133" s="66"/>
      <c r="G133" s="66"/>
      <c r="H133" s="66"/>
      <c r="I133" s="66"/>
      <c r="J133" s="66"/>
      <c r="K133" s="66"/>
      <c r="L133" s="66"/>
      <c r="M133" s="84"/>
    </row>
    <row r="134" spans="1:13" x14ac:dyDescent="0.2">
      <c r="A134" s="79"/>
      <c r="B134" s="60"/>
      <c r="C134" s="84"/>
      <c r="D134" s="66"/>
      <c r="E134" s="66"/>
      <c r="F134" s="66"/>
      <c r="G134" s="66"/>
      <c r="H134" s="66"/>
      <c r="I134" s="66"/>
      <c r="J134" s="66"/>
      <c r="K134" s="66"/>
      <c r="L134" s="66"/>
      <c r="M134" s="84"/>
    </row>
    <row r="135" spans="1:13" x14ac:dyDescent="0.2">
      <c r="A135" s="79"/>
      <c r="B135" s="60"/>
      <c r="C135" s="84"/>
      <c r="D135" s="66"/>
      <c r="E135" s="66"/>
      <c r="F135" s="66"/>
      <c r="G135" s="66"/>
      <c r="H135" s="66"/>
      <c r="I135" s="66"/>
      <c r="J135" s="66"/>
      <c r="K135" s="66"/>
      <c r="L135" s="66"/>
      <c r="M135" s="84"/>
    </row>
    <row r="136" spans="1:13" x14ac:dyDescent="0.2">
      <c r="A136" s="79"/>
      <c r="B136" s="60"/>
      <c r="C136" s="84"/>
      <c r="D136" s="66"/>
      <c r="E136" s="66"/>
      <c r="F136" s="66"/>
      <c r="G136" s="66"/>
      <c r="H136" s="66"/>
      <c r="I136" s="66"/>
      <c r="J136" s="66"/>
      <c r="K136" s="66"/>
      <c r="L136" s="66"/>
      <c r="M136" s="84"/>
    </row>
    <row r="137" spans="1:13" x14ac:dyDescent="0.2">
      <c r="A137" s="79"/>
      <c r="B137" s="60"/>
      <c r="C137" s="84"/>
      <c r="D137" s="66"/>
      <c r="E137" s="66"/>
      <c r="F137" s="66"/>
      <c r="G137" s="66"/>
      <c r="H137" s="66"/>
      <c r="I137" s="66"/>
      <c r="J137" s="66"/>
      <c r="K137" s="66"/>
      <c r="L137" s="66"/>
      <c r="M137" s="84"/>
    </row>
    <row r="138" spans="1:13" x14ac:dyDescent="0.2">
      <c r="A138" s="79"/>
      <c r="B138" s="60"/>
      <c r="C138" s="84"/>
      <c r="D138" s="66"/>
      <c r="E138" s="66"/>
      <c r="F138" s="66"/>
      <c r="G138" s="66"/>
      <c r="H138" s="66"/>
      <c r="I138" s="66"/>
      <c r="J138" s="66"/>
      <c r="K138" s="66"/>
      <c r="L138" s="66"/>
      <c r="M138" s="84"/>
    </row>
    <row r="139" spans="1:13" x14ac:dyDescent="0.2">
      <c r="A139" s="79"/>
      <c r="B139" s="60"/>
      <c r="C139" s="84"/>
      <c r="D139" s="66"/>
      <c r="E139" s="66"/>
      <c r="F139" s="66"/>
      <c r="G139" s="66"/>
      <c r="H139" s="66"/>
      <c r="I139" s="66"/>
      <c r="J139" s="66"/>
      <c r="K139" s="66"/>
      <c r="L139" s="66"/>
      <c r="M139" s="84"/>
    </row>
    <row r="140" spans="1:13" x14ac:dyDescent="0.2">
      <c r="A140" s="79"/>
      <c r="B140" s="60"/>
      <c r="C140" s="84"/>
      <c r="D140" s="66"/>
      <c r="E140" s="66"/>
      <c r="F140" s="66"/>
      <c r="G140" s="66"/>
      <c r="H140" s="66"/>
      <c r="I140" s="66"/>
      <c r="J140" s="66"/>
      <c r="K140" s="66"/>
      <c r="L140" s="66"/>
      <c r="M140" s="84"/>
    </row>
    <row r="141" spans="1:13" x14ac:dyDescent="0.2">
      <c r="A141" s="79"/>
      <c r="B141" s="60"/>
      <c r="C141" s="84"/>
      <c r="D141" s="66"/>
      <c r="E141" s="66"/>
      <c r="F141" s="66"/>
      <c r="G141" s="66"/>
      <c r="H141" s="66"/>
      <c r="I141" s="66"/>
      <c r="J141" s="66"/>
      <c r="K141" s="66"/>
      <c r="L141" s="66"/>
      <c r="M141" s="84"/>
    </row>
    <row r="142" spans="1:13" x14ac:dyDescent="0.2">
      <c r="A142" s="79"/>
      <c r="B142" s="60"/>
      <c r="C142" s="84"/>
      <c r="D142" s="66"/>
      <c r="E142" s="66"/>
      <c r="F142" s="66"/>
      <c r="G142" s="66"/>
      <c r="H142" s="66"/>
      <c r="I142" s="66"/>
      <c r="J142" s="66"/>
      <c r="K142" s="66"/>
      <c r="L142" s="66"/>
      <c r="M142" s="84"/>
    </row>
    <row r="143" spans="1:13" x14ac:dyDescent="0.2">
      <c r="A143" s="79"/>
      <c r="B143" s="60"/>
      <c r="C143" s="84"/>
      <c r="D143" s="66"/>
      <c r="E143" s="66"/>
      <c r="F143" s="66"/>
      <c r="G143" s="66"/>
      <c r="H143" s="66"/>
      <c r="I143" s="66"/>
      <c r="J143" s="66"/>
      <c r="K143" s="66"/>
      <c r="L143" s="66"/>
      <c r="M143" s="84"/>
    </row>
    <row r="144" spans="1:13" x14ac:dyDescent="0.2">
      <c r="A144" s="79"/>
      <c r="B144" s="60"/>
      <c r="C144" s="84"/>
      <c r="D144" s="66"/>
      <c r="E144" s="66"/>
      <c r="F144" s="66"/>
      <c r="G144" s="66"/>
      <c r="H144" s="66"/>
      <c r="I144" s="66"/>
      <c r="J144" s="66"/>
      <c r="K144" s="66"/>
      <c r="L144" s="66"/>
      <c r="M144" s="84"/>
    </row>
    <row r="145" spans="1:13" x14ac:dyDescent="0.2">
      <c r="A145" s="79"/>
      <c r="B145" s="60"/>
      <c r="C145" s="84"/>
      <c r="D145" s="66"/>
      <c r="E145" s="66"/>
      <c r="F145" s="66"/>
      <c r="G145" s="66"/>
      <c r="H145" s="66"/>
      <c r="I145" s="66"/>
      <c r="J145" s="66"/>
      <c r="K145" s="66"/>
      <c r="L145" s="66"/>
      <c r="M145" s="84"/>
    </row>
    <row r="146" spans="1:13" x14ac:dyDescent="0.2">
      <c r="A146" s="79"/>
      <c r="B146" s="60"/>
      <c r="C146" s="84"/>
      <c r="D146" s="66"/>
      <c r="E146" s="66"/>
      <c r="F146" s="66"/>
      <c r="G146" s="66"/>
      <c r="H146" s="66"/>
      <c r="I146" s="66"/>
      <c r="J146" s="66"/>
      <c r="K146" s="66"/>
      <c r="L146" s="66"/>
      <c r="M146" s="84"/>
    </row>
    <row r="147" spans="1:13" x14ac:dyDescent="0.2">
      <c r="A147" s="79"/>
      <c r="B147" s="60"/>
      <c r="C147" s="84"/>
      <c r="D147" s="66"/>
      <c r="E147" s="66"/>
      <c r="F147" s="66"/>
      <c r="G147" s="66"/>
      <c r="H147" s="66"/>
      <c r="I147" s="66"/>
      <c r="J147" s="66"/>
      <c r="K147" s="66"/>
      <c r="L147" s="66"/>
      <c r="M147" s="84"/>
    </row>
    <row r="148" spans="1:13" x14ac:dyDescent="0.2">
      <c r="B148" s="60"/>
      <c r="C148" s="84"/>
      <c r="D148" s="66"/>
      <c r="E148" s="66"/>
      <c r="F148" s="66"/>
      <c r="G148" s="66"/>
      <c r="H148" s="66"/>
      <c r="I148" s="66"/>
      <c r="J148" s="66"/>
      <c r="K148" s="66"/>
      <c r="L148" s="66"/>
      <c r="M148" s="84"/>
    </row>
    <row r="149" spans="1:13" x14ac:dyDescent="0.2">
      <c r="B149" s="60"/>
      <c r="C149" s="84"/>
      <c r="D149" s="66"/>
      <c r="E149" s="66"/>
      <c r="F149" s="66"/>
      <c r="G149" s="66"/>
      <c r="H149" s="66"/>
      <c r="I149" s="66"/>
      <c r="J149" s="66"/>
      <c r="K149" s="66"/>
      <c r="L149" s="66"/>
      <c r="M149" s="84"/>
    </row>
    <row r="150" spans="1:13" x14ac:dyDescent="0.2">
      <c r="B150" s="60"/>
      <c r="C150" s="84"/>
      <c r="D150" s="66"/>
      <c r="E150" s="66"/>
      <c r="F150" s="66"/>
      <c r="G150" s="66"/>
      <c r="H150" s="66"/>
      <c r="I150" s="66"/>
      <c r="J150" s="66"/>
      <c r="K150" s="66"/>
      <c r="L150" s="66"/>
      <c r="M150" s="84"/>
    </row>
    <row r="151" spans="1:13" x14ac:dyDescent="0.2">
      <c r="B151" s="60"/>
      <c r="C151" s="84"/>
      <c r="D151" s="66"/>
      <c r="E151" s="66"/>
      <c r="F151" s="66"/>
      <c r="G151" s="66"/>
      <c r="H151" s="66"/>
      <c r="I151" s="66"/>
      <c r="J151" s="66"/>
      <c r="K151" s="66"/>
      <c r="L151" s="66"/>
      <c r="M151" s="84"/>
    </row>
    <row r="152" spans="1:13" x14ac:dyDescent="0.2">
      <c r="B152" s="60"/>
      <c r="C152" s="84"/>
      <c r="D152" s="66"/>
      <c r="E152" s="66"/>
      <c r="F152" s="66"/>
      <c r="G152" s="66"/>
      <c r="H152" s="66"/>
      <c r="I152" s="66"/>
      <c r="J152" s="66"/>
      <c r="K152" s="66"/>
      <c r="L152" s="66"/>
      <c r="M152" s="84"/>
    </row>
    <row r="153" spans="1:13" x14ac:dyDescent="0.2">
      <c r="B153" s="60"/>
      <c r="C153" s="84"/>
      <c r="D153" s="66"/>
      <c r="E153" s="66"/>
      <c r="F153" s="66"/>
      <c r="G153" s="66"/>
      <c r="H153" s="66"/>
      <c r="I153" s="66"/>
      <c r="J153" s="66"/>
      <c r="K153" s="66"/>
      <c r="L153" s="66"/>
      <c r="M153" s="84"/>
    </row>
    <row r="154" spans="1:13" x14ac:dyDescent="0.2">
      <c r="B154" s="60"/>
      <c r="C154" s="84"/>
      <c r="D154" s="66"/>
      <c r="E154" s="66"/>
      <c r="F154" s="66"/>
      <c r="G154" s="66"/>
      <c r="H154" s="66"/>
      <c r="I154" s="66"/>
      <c r="J154" s="66"/>
      <c r="K154" s="66"/>
      <c r="L154" s="66"/>
      <c r="M154" s="84"/>
    </row>
    <row r="155" spans="1:13" x14ac:dyDescent="0.2">
      <c r="B155" s="60"/>
      <c r="C155" s="84"/>
      <c r="D155" s="66"/>
      <c r="E155" s="66"/>
      <c r="F155" s="66"/>
      <c r="G155" s="66"/>
      <c r="H155" s="66"/>
      <c r="I155" s="66"/>
      <c r="J155" s="66"/>
      <c r="K155" s="66"/>
      <c r="L155" s="66"/>
      <c r="M155" s="84"/>
    </row>
    <row r="156" spans="1:13" x14ac:dyDescent="0.2">
      <c r="B156" s="60"/>
      <c r="C156" s="84"/>
      <c r="D156" s="66"/>
      <c r="E156" s="66"/>
      <c r="F156" s="66"/>
      <c r="G156" s="66"/>
      <c r="H156" s="66"/>
      <c r="I156" s="66"/>
      <c r="J156" s="66"/>
      <c r="K156" s="66"/>
      <c r="L156" s="66"/>
      <c r="M156" s="84"/>
    </row>
    <row r="157" spans="1:13" x14ac:dyDescent="0.2">
      <c r="B157" s="60"/>
      <c r="C157" s="84"/>
      <c r="D157" s="66"/>
      <c r="E157" s="66"/>
      <c r="F157" s="66"/>
      <c r="G157" s="66"/>
      <c r="H157" s="66"/>
      <c r="I157" s="66"/>
      <c r="J157" s="66"/>
      <c r="K157" s="66"/>
      <c r="L157" s="66"/>
      <c r="M157" s="84"/>
    </row>
    <row r="158" spans="1:13" x14ac:dyDescent="0.2">
      <c r="B158" s="60"/>
      <c r="C158" s="84"/>
      <c r="D158" s="66"/>
      <c r="E158" s="66"/>
      <c r="F158" s="66"/>
      <c r="G158" s="66"/>
      <c r="H158" s="66"/>
      <c r="I158" s="66"/>
      <c r="J158" s="66"/>
      <c r="K158" s="66"/>
      <c r="L158" s="66"/>
      <c r="M158" s="84"/>
    </row>
    <row r="159" spans="1:13" x14ac:dyDescent="0.2">
      <c r="B159" s="60"/>
      <c r="C159" s="84"/>
      <c r="D159" s="66"/>
      <c r="E159" s="66"/>
      <c r="F159" s="66"/>
      <c r="G159" s="66"/>
      <c r="H159" s="66"/>
      <c r="I159" s="66"/>
      <c r="J159" s="66"/>
      <c r="K159" s="66"/>
      <c r="L159" s="66"/>
      <c r="M159" s="84"/>
    </row>
    <row r="160" spans="1:13" x14ac:dyDescent="0.2">
      <c r="B160" s="60"/>
      <c r="C160" s="84"/>
      <c r="D160" s="66"/>
      <c r="E160" s="66"/>
      <c r="F160" s="66"/>
      <c r="G160" s="66"/>
      <c r="H160" s="66"/>
      <c r="I160" s="66"/>
      <c r="J160" s="66"/>
      <c r="K160" s="66"/>
      <c r="L160" s="66"/>
      <c r="M160" s="84"/>
    </row>
    <row r="161" spans="2:13" x14ac:dyDescent="0.2">
      <c r="B161" s="60"/>
      <c r="C161" s="84"/>
      <c r="D161" s="66"/>
      <c r="E161" s="66"/>
      <c r="F161" s="66"/>
      <c r="G161" s="66"/>
      <c r="H161" s="66"/>
      <c r="I161" s="66"/>
      <c r="J161" s="66"/>
      <c r="K161" s="66"/>
      <c r="L161" s="66"/>
      <c r="M161" s="84"/>
    </row>
    <row r="162" spans="2:13" x14ac:dyDescent="0.2">
      <c r="B162" s="60"/>
      <c r="C162" s="84"/>
      <c r="D162" s="66"/>
      <c r="E162" s="66"/>
      <c r="F162" s="66"/>
      <c r="G162" s="66"/>
      <c r="H162" s="66"/>
      <c r="I162" s="66"/>
      <c r="J162" s="66"/>
      <c r="K162" s="66"/>
      <c r="L162" s="66"/>
      <c r="M162" s="84"/>
    </row>
    <row r="163" spans="2:13" x14ac:dyDescent="0.2">
      <c r="B163" s="60"/>
      <c r="C163" s="84"/>
      <c r="D163" s="66"/>
      <c r="E163" s="66"/>
      <c r="F163" s="66"/>
      <c r="G163" s="66"/>
      <c r="H163" s="66"/>
      <c r="I163" s="66"/>
      <c r="J163" s="66"/>
      <c r="K163" s="66"/>
      <c r="L163" s="66"/>
      <c r="M163" s="84"/>
    </row>
    <row r="164" spans="2:13" x14ac:dyDescent="0.2">
      <c r="B164" s="60"/>
      <c r="C164" s="84"/>
      <c r="D164" s="66"/>
      <c r="E164" s="66"/>
      <c r="F164" s="66"/>
      <c r="G164" s="66"/>
      <c r="H164" s="66"/>
      <c r="I164" s="66"/>
      <c r="J164" s="66"/>
      <c r="K164" s="66"/>
      <c r="L164" s="66"/>
      <c r="M164" s="84"/>
    </row>
    <row r="165" spans="2:13" x14ac:dyDescent="0.2">
      <c r="B165" s="60"/>
      <c r="C165" s="84"/>
      <c r="D165" s="66"/>
      <c r="E165" s="66"/>
      <c r="F165" s="66"/>
      <c r="G165" s="66"/>
      <c r="H165" s="66"/>
      <c r="I165" s="66"/>
      <c r="J165" s="66"/>
      <c r="K165" s="66"/>
      <c r="L165" s="66"/>
      <c r="M165" s="84"/>
    </row>
    <row r="166" spans="2:13" x14ac:dyDescent="0.2">
      <c r="B166" s="60"/>
      <c r="C166" s="84"/>
      <c r="D166" s="66"/>
      <c r="E166" s="66"/>
      <c r="F166" s="66"/>
      <c r="G166" s="66"/>
      <c r="H166" s="66"/>
      <c r="I166" s="66"/>
      <c r="J166" s="66"/>
      <c r="K166" s="66"/>
      <c r="L166" s="66"/>
      <c r="M166" s="84"/>
    </row>
    <row r="167" spans="2:13" x14ac:dyDescent="0.2">
      <c r="B167" s="60"/>
      <c r="C167" s="84"/>
      <c r="D167" s="66"/>
      <c r="E167" s="66"/>
      <c r="F167" s="66"/>
      <c r="G167" s="66"/>
      <c r="H167" s="66"/>
      <c r="I167" s="66"/>
      <c r="J167" s="66"/>
      <c r="K167" s="66"/>
      <c r="L167" s="66"/>
      <c r="M167" s="84"/>
    </row>
    <row r="168" spans="2:13" x14ac:dyDescent="0.2">
      <c r="B168" s="60"/>
      <c r="C168" s="84"/>
      <c r="D168" s="66"/>
      <c r="E168" s="66"/>
      <c r="F168" s="66"/>
      <c r="G168" s="66"/>
      <c r="H168" s="66"/>
      <c r="I168" s="66"/>
      <c r="J168" s="66"/>
      <c r="K168" s="66"/>
      <c r="L168" s="66"/>
      <c r="M168" s="84"/>
    </row>
    <row r="169" spans="2:13" x14ac:dyDescent="0.2">
      <c r="B169" s="60"/>
      <c r="C169" s="84"/>
      <c r="D169" s="66"/>
      <c r="E169" s="66"/>
      <c r="F169" s="66"/>
      <c r="G169" s="66"/>
      <c r="H169" s="66"/>
      <c r="I169" s="66"/>
      <c r="J169" s="66"/>
      <c r="K169" s="66"/>
      <c r="L169" s="66"/>
      <c r="M169" s="84"/>
    </row>
    <row r="170" spans="2:13" x14ac:dyDescent="0.2">
      <c r="B170" s="60"/>
      <c r="C170" s="84"/>
      <c r="D170" s="66"/>
      <c r="E170" s="66"/>
      <c r="F170" s="66"/>
      <c r="G170" s="66"/>
      <c r="H170" s="66"/>
      <c r="I170" s="66"/>
      <c r="J170" s="66"/>
      <c r="K170" s="66"/>
      <c r="L170" s="66"/>
      <c r="M170" s="84"/>
    </row>
    <row r="171" spans="2:13" x14ac:dyDescent="0.2">
      <c r="B171" s="60"/>
      <c r="C171" s="84"/>
      <c r="D171" s="66"/>
      <c r="E171" s="66"/>
      <c r="F171" s="66"/>
      <c r="G171" s="66"/>
      <c r="H171" s="66"/>
      <c r="I171" s="66"/>
      <c r="J171" s="66"/>
      <c r="K171" s="66"/>
      <c r="L171" s="66"/>
      <c r="M171" s="84"/>
    </row>
    <row r="172" spans="2:13" x14ac:dyDescent="0.2">
      <c r="B172" s="60"/>
      <c r="C172" s="84"/>
      <c r="D172" s="66"/>
      <c r="E172" s="66"/>
      <c r="F172" s="66"/>
      <c r="G172" s="66"/>
      <c r="H172" s="66"/>
      <c r="I172" s="66"/>
      <c r="J172" s="66"/>
      <c r="K172" s="66"/>
      <c r="L172" s="66"/>
      <c r="M172" s="84"/>
    </row>
    <row r="173" spans="2:13" x14ac:dyDescent="0.2">
      <c r="B173" s="60"/>
      <c r="C173" s="84"/>
      <c r="D173" s="66"/>
      <c r="E173" s="66"/>
      <c r="F173" s="66"/>
      <c r="G173" s="66"/>
      <c r="H173" s="66"/>
      <c r="I173" s="66"/>
      <c r="J173" s="66"/>
      <c r="K173" s="66"/>
      <c r="L173" s="66"/>
      <c r="M173" s="84"/>
    </row>
    <row r="174" spans="2:13" x14ac:dyDescent="0.2">
      <c r="B174" s="60"/>
      <c r="C174" s="84"/>
      <c r="D174" s="66"/>
      <c r="E174" s="66"/>
      <c r="F174" s="66"/>
      <c r="G174" s="66"/>
      <c r="H174" s="66"/>
      <c r="I174" s="66"/>
      <c r="J174" s="66"/>
      <c r="K174" s="66"/>
      <c r="L174" s="66"/>
      <c r="M174" s="84"/>
    </row>
    <row r="175" spans="2:13" x14ac:dyDescent="0.2">
      <c r="B175" s="60"/>
      <c r="C175" s="84"/>
      <c r="D175" s="66"/>
      <c r="E175" s="66"/>
      <c r="F175" s="66"/>
      <c r="G175" s="66"/>
      <c r="H175" s="66"/>
      <c r="I175" s="66"/>
      <c r="J175" s="66"/>
      <c r="K175" s="66"/>
      <c r="L175" s="66"/>
      <c r="M175" s="84"/>
    </row>
    <row r="176" spans="2:13" x14ac:dyDescent="0.2">
      <c r="B176" s="60"/>
      <c r="C176" s="84"/>
      <c r="D176" s="66"/>
      <c r="E176" s="66"/>
      <c r="F176" s="66"/>
      <c r="G176" s="66"/>
      <c r="H176" s="66"/>
      <c r="I176" s="66"/>
      <c r="J176" s="66"/>
      <c r="K176" s="66"/>
      <c r="L176" s="66"/>
      <c r="M176" s="84"/>
    </row>
    <row r="177" spans="2:13" x14ac:dyDescent="0.2">
      <c r="B177" s="60"/>
      <c r="C177" s="84"/>
      <c r="D177" s="66"/>
      <c r="E177" s="66"/>
      <c r="F177" s="66"/>
      <c r="G177" s="66"/>
      <c r="H177" s="66"/>
      <c r="I177" s="66"/>
      <c r="J177" s="66"/>
      <c r="K177" s="66"/>
      <c r="L177" s="66"/>
      <c r="M177" s="84"/>
    </row>
    <row r="178" spans="2:13" x14ac:dyDescent="0.2">
      <c r="B178" s="60"/>
      <c r="C178" s="84"/>
      <c r="D178" s="66"/>
      <c r="E178" s="66"/>
      <c r="F178" s="66"/>
      <c r="G178" s="66"/>
      <c r="H178" s="66"/>
      <c r="I178" s="66"/>
      <c r="J178" s="66"/>
      <c r="K178" s="66"/>
      <c r="L178" s="66"/>
      <c r="M178" s="84"/>
    </row>
    <row r="179" spans="2:13" x14ac:dyDescent="0.2">
      <c r="B179" s="60"/>
      <c r="C179" s="84"/>
      <c r="D179" s="66"/>
      <c r="E179" s="66"/>
      <c r="F179" s="66"/>
      <c r="G179" s="66"/>
      <c r="H179" s="66"/>
      <c r="I179" s="66"/>
      <c r="J179" s="66"/>
      <c r="K179" s="66"/>
      <c r="L179" s="66"/>
      <c r="M179" s="84"/>
    </row>
    <row r="180" spans="2:13" x14ac:dyDescent="0.2">
      <c r="B180" s="60"/>
      <c r="C180" s="84"/>
      <c r="D180" s="66"/>
      <c r="E180" s="66"/>
      <c r="F180" s="66"/>
      <c r="G180" s="66"/>
      <c r="H180" s="66"/>
      <c r="I180" s="66"/>
      <c r="J180" s="66"/>
      <c r="K180" s="66"/>
      <c r="L180" s="66"/>
      <c r="M180" s="84"/>
    </row>
    <row r="181" spans="2:13" x14ac:dyDescent="0.2">
      <c r="B181" s="60"/>
      <c r="C181" s="84"/>
      <c r="D181" s="66"/>
      <c r="E181" s="66"/>
      <c r="F181" s="66"/>
      <c r="G181" s="66"/>
      <c r="H181" s="66"/>
      <c r="I181" s="66"/>
      <c r="J181" s="66"/>
      <c r="K181" s="66"/>
      <c r="L181" s="66"/>
      <c r="M181" s="84"/>
    </row>
    <row r="182" spans="2:13" x14ac:dyDescent="0.2">
      <c r="B182" s="60"/>
      <c r="C182" s="84"/>
      <c r="D182" s="66"/>
      <c r="E182" s="66"/>
      <c r="F182" s="66"/>
      <c r="G182" s="66"/>
      <c r="H182" s="66"/>
      <c r="I182" s="66"/>
      <c r="J182" s="66"/>
      <c r="K182" s="66"/>
      <c r="L182" s="66"/>
      <c r="M182" s="84"/>
    </row>
    <row r="183" spans="2:13" x14ac:dyDescent="0.2">
      <c r="B183" s="60"/>
      <c r="C183" s="84"/>
      <c r="D183" s="66"/>
      <c r="E183" s="66"/>
      <c r="F183" s="66"/>
      <c r="G183" s="66"/>
      <c r="H183" s="66"/>
      <c r="I183" s="66"/>
      <c r="J183" s="66"/>
      <c r="K183" s="66"/>
      <c r="L183" s="66"/>
      <c r="M183" s="84"/>
    </row>
    <row r="184" spans="2:13" x14ac:dyDescent="0.2">
      <c r="B184" s="60"/>
      <c r="C184" s="84"/>
      <c r="D184" s="66"/>
      <c r="E184" s="66"/>
      <c r="F184" s="66"/>
      <c r="G184" s="66"/>
      <c r="H184" s="66"/>
      <c r="I184" s="66"/>
      <c r="J184" s="66"/>
      <c r="K184" s="66"/>
      <c r="L184" s="66"/>
      <c r="M184" s="84"/>
    </row>
    <row r="185" spans="2:13" x14ac:dyDescent="0.2">
      <c r="B185" s="60"/>
      <c r="C185" s="84"/>
      <c r="D185" s="66"/>
      <c r="E185" s="66"/>
      <c r="F185" s="66"/>
      <c r="G185" s="66"/>
      <c r="H185" s="66"/>
      <c r="I185" s="66"/>
      <c r="J185" s="66"/>
      <c r="K185" s="66"/>
      <c r="L185" s="66"/>
      <c r="M185" s="84"/>
    </row>
    <row r="186" spans="2:13" x14ac:dyDescent="0.2">
      <c r="B186" s="60"/>
      <c r="C186" s="84"/>
      <c r="D186" s="66"/>
      <c r="E186" s="66"/>
      <c r="F186" s="66"/>
      <c r="G186" s="66"/>
      <c r="H186" s="66"/>
      <c r="I186" s="66"/>
      <c r="J186" s="66"/>
      <c r="K186" s="66"/>
      <c r="L186" s="66"/>
      <c r="M186" s="84"/>
    </row>
    <row r="187" spans="2:13" x14ac:dyDescent="0.2">
      <c r="B187" s="60"/>
      <c r="C187" s="84"/>
      <c r="D187" s="66"/>
      <c r="E187" s="66"/>
      <c r="F187" s="66"/>
      <c r="G187" s="66"/>
      <c r="H187" s="66"/>
      <c r="I187" s="66"/>
      <c r="J187" s="66"/>
      <c r="K187" s="66"/>
      <c r="L187" s="66"/>
      <c r="M187" s="84"/>
    </row>
    <row r="188" spans="2:13" x14ac:dyDescent="0.2">
      <c r="B188" s="60"/>
      <c r="C188" s="84"/>
      <c r="D188" s="66"/>
      <c r="E188" s="66"/>
      <c r="F188" s="66"/>
      <c r="G188" s="66"/>
      <c r="H188" s="66"/>
      <c r="I188" s="66"/>
      <c r="J188" s="66"/>
      <c r="K188" s="66"/>
      <c r="L188" s="66"/>
      <c r="M188" s="84"/>
    </row>
    <row r="189" spans="2:13" x14ac:dyDescent="0.2">
      <c r="B189" s="60"/>
      <c r="C189" s="84"/>
      <c r="D189" s="66"/>
      <c r="E189" s="66"/>
      <c r="F189" s="66"/>
      <c r="G189" s="66"/>
      <c r="H189" s="66"/>
      <c r="I189" s="66"/>
      <c r="J189" s="66"/>
      <c r="K189" s="66"/>
      <c r="L189" s="66"/>
      <c r="M189" s="84"/>
    </row>
    <row r="190" spans="2:13" x14ac:dyDescent="0.2">
      <c r="B190" s="60"/>
      <c r="C190" s="84"/>
      <c r="D190" s="66"/>
      <c r="E190" s="66"/>
      <c r="F190" s="66"/>
      <c r="G190" s="66"/>
      <c r="H190" s="66"/>
      <c r="I190" s="66"/>
      <c r="J190" s="66"/>
      <c r="K190" s="66"/>
      <c r="L190" s="66"/>
      <c r="M190" s="84"/>
    </row>
    <row r="191" spans="2:13" x14ac:dyDescent="0.2">
      <c r="B191" s="60"/>
      <c r="C191" s="84"/>
      <c r="D191" s="66"/>
      <c r="E191" s="66"/>
      <c r="F191" s="66"/>
      <c r="G191" s="66"/>
      <c r="H191" s="66"/>
      <c r="I191" s="66"/>
      <c r="J191" s="66"/>
      <c r="K191" s="66"/>
      <c r="L191" s="66"/>
      <c r="M191" s="84"/>
    </row>
    <row r="192" spans="2:13" x14ac:dyDescent="0.2">
      <c r="B192" s="60"/>
      <c r="C192" s="84"/>
      <c r="D192" s="66"/>
      <c r="E192" s="66"/>
      <c r="F192" s="66"/>
      <c r="G192" s="66"/>
      <c r="H192" s="66"/>
      <c r="I192" s="66"/>
      <c r="J192" s="66"/>
      <c r="K192" s="66"/>
      <c r="L192" s="66"/>
      <c r="M192" s="84"/>
    </row>
    <row r="193" spans="2:13" x14ac:dyDescent="0.2">
      <c r="B193" s="60"/>
      <c r="C193" s="84"/>
      <c r="D193" s="66"/>
      <c r="E193" s="66"/>
      <c r="F193" s="66"/>
      <c r="G193" s="66"/>
      <c r="H193" s="66"/>
      <c r="I193" s="66"/>
      <c r="J193" s="66"/>
      <c r="K193" s="66"/>
      <c r="L193" s="66"/>
      <c r="M193" s="84"/>
    </row>
    <row r="194" spans="2:13" x14ac:dyDescent="0.2">
      <c r="B194" s="60"/>
      <c r="C194" s="84"/>
      <c r="D194" s="66"/>
      <c r="E194" s="66"/>
      <c r="F194" s="66"/>
      <c r="G194" s="66"/>
      <c r="H194" s="66"/>
      <c r="I194" s="66"/>
      <c r="J194" s="66"/>
      <c r="K194" s="66"/>
      <c r="L194" s="66"/>
      <c r="M194" s="84"/>
    </row>
    <row r="195" spans="2:13" x14ac:dyDescent="0.2">
      <c r="B195" s="60"/>
      <c r="C195" s="84"/>
      <c r="D195" s="66"/>
      <c r="E195" s="66"/>
      <c r="F195" s="66"/>
      <c r="G195" s="66"/>
      <c r="H195" s="66"/>
      <c r="I195" s="66"/>
      <c r="J195" s="66"/>
      <c r="K195" s="66"/>
      <c r="L195" s="66"/>
      <c r="M195" s="84"/>
    </row>
    <row r="196" spans="2:13" x14ac:dyDescent="0.2">
      <c r="B196" s="60"/>
      <c r="C196" s="84"/>
      <c r="D196" s="66"/>
      <c r="E196" s="66"/>
      <c r="F196" s="66"/>
      <c r="G196" s="66"/>
      <c r="H196" s="66"/>
      <c r="I196" s="66"/>
      <c r="J196" s="66"/>
      <c r="K196" s="66"/>
      <c r="L196" s="66"/>
      <c r="M196" s="84"/>
    </row>
    <row r="197" spans="2:13" x14ac:dyDescent="0.2">
      <c r="B197" s="60"/>
      <c r="C197" s="84"/>
      <c r="D197" s="66"/>
      <c r="E197" s="66"/>
      <c r="F197" s="66"/>
      <c r="G197" s="66"/>
      <c r="H197" s="66"/>
      <c r="I197" s="66"/>
      <c r="J197" s="66"/>
      <c r="K197" s="66"/>
      <c r="L197" s="66"/>
      <c r="M197" s="84"/>
    </row>
    <row r="198" spans="2:13" x14ac:dyDescent="0.2">
      <c r="B198" s="60"/>
      <c r="C198" s="84"/>
      <c r="D198" s="66"/>
      <c r="E198" s="66"/>
      <c r="F198" s="66"/>
      <c r="G198" s="66"/>
      <c r="H198" s="66"/>
      <c r="I198" s="66"/>
      <c r="J198" s="66"/>
      <c r="K198" s="66"/>
      <c r="L198" s="66"/>
      <c r="M198" s="84"/>
    </row>
    <row r="199" spans="2:13" x14ac:dyDescent="0.2">
      <c r="B199" s="60"/>
      <c r="C199" s="84"/>
      <c r="D199" s="66"/>
      <c r="E199" s="66"/>
      <c r="F199" s="66"/>
      <c r="G199" s="66"/>
      <c r="H199" s="66"/>
      <c r="I199" s="66"/>
      <c r="J199" s="66"/>
      <c r="K199" s="66"/>
      <c r="L199" s="66"/>
      <c r="M199" s="84"/>
    </row>
    <row r="200" spans="2:13" x14ac:dyDescent="0.2">
      <c r="B200" s="60"/>
      <c r="C200" s="84"/>
      <c r="D200" s="66"/>
      <c r="E200" s="66"/>
      <c r="F200" s="66"/>
      <c r="G200" s="66"/>
      <c r="H200" s="66"/>
      <c r="I200" s="66"/>
      <c r="J200" s="66"/>
      <c r="K200" s="66"/>
      <c r="L200" s="66"/>
      <c r="M200" s="84"/>
    </row>
    <row r="201" spans="2:13" x14ac:dyDescent="0.2">
      <c r="B201" s="60"/>
      <c r="C201" s="84"/>
      <c r="D201" s="66"/>
      <c r="E201" s="66"/>
      <c r="F201" s="66"/>
      <c r="G201" s="66"/>
      <c r="H201" s="66"/>
      <c r="I201" s="66"/>
      <c r="J201" s="66"/>
      <c r="K201" s="66"/>
      <c r="L201" s="66"/>
      <c r="M201" s="84"/>
    </row>
    <row r="202" spans="2:13" x14ac:dyDescent="0.2">
      <c r="B202" s="60"/>
      <c r="C202" s="84"/>
      <c r="D202" s="66"/>
      <c r="E202" s="66"/>
      <c r="F202" s="66"/>
      <c r="G202" s="66"/>
      <c r="H202" s="66"/>
      <c r="I202" s="66"/>
      <c r="J202" s="66"/>
      <c r="K202" s="66"/>
      <c r="L202" s="66"/>
      <c r="M202" s="84"/>
    </row>
    <row r="203" spans="2:13" x14ac:dyDescent="0.2">
      <c r="B203" s="60"/>
      <c r="C203" s="84"/>
      <c r="D203" s="66"/>
      <c r="E203" s="66"/>
      <c r="F203" s="66"/>
      <c r="G203" s="66"/>
      <c r="H203" s="66"/>
      <c r="I203" s="66"/>
      <c r="J203" s="66"/>
      <c r="K203" s="66"/>
      <c r="L203" s="66"/>
      <c r="M203" s="84"/>
    </row>
    <row r="204" spans="2:13" x14ac:dyDescent="0.2">
      <c r="B204" s="60"/>
      <c r="C204" s="84"/>
      <c r="D204" s="66"/>
      <c r="E204" s="66"/>
      <c r="F204" s="66"/>
      <c r="G204" s="66"/>
      <c r="H204" s="66"/>
      <c r="I204" s="66"/>
      <c r="J204" s="66"/>
      <c r="K204" s="66"/>
      <c r="L204" s="66"/>
      <c r="M204" s="84"/>
    </row>
    <row r="205" spans="2:13" x14ac:dyDescent="0.2">
      <c r="B205" s="60"/>
      <c r="C205" s="84"/>
      <c r="D205" s="66"/>
      <c r="E205" s="66"/>
      <c r="F205" s="66"/>
      <c r="G205" s="66"/>
      <c r="H205" s="66"/>
      <c r="I205" s="66"/>
      <c r="J205" s="66"/>
      <c r="K205" s="66"/>
      <c r="L205" s="66"/>
      <c r="M205" s="84"/>
    </row>
    <row r="206" spans="2:13" x14ac:dyDescent="0.2">
      <c r="B206" s="60"/>
      <c r="C206" s="84"/>
      <c r="D206" s="66"/>
      <c r="E206" s="66"/>
      <c r="F206" s="66"/>
      <c r="G206" s="66"/>
      <c r="H206" s="66"/>
      <c r="I206" s="66"/>
      <c r="J206" s="66"/>
      <c r="K206" s="66"/>
      <c r="L206" s="66"/>
      <c r="M206" s="84"/>
    </row>
    <row r="207" spans="2:13" x14ac:dyDescent="0.2">
      <c r="B207" s="60"/>
      <c r="C207" s="84"/>
      <c r="D207" s="66"/>
      <c r="E207" s="66"/>
      <c r="F207" s="66"/>
      <c r="G207" s="66"/>
      <c r="H207" s="66"/>
      <c r="I207" s="66"/>
      <c r="J207" s="66"/>
      <c r="K207" s="66"/>
      <c r="L207" s="66"/>
      <c r="M207" s="84"/>
    </row>
    <row r="208" spans="2:13" x14ac:dyDescent="0.2">
      <c r="B208" s="60"/>
      <c r="C208" s="84"/>
      <c r="D208" s="66"/>
      <c r="E208" s="66"/>
      <c r="F208" s="66"/>
      <c r="G208" s="66"/>
      <c r="H208" s="66"/>
      <c r="I208" s="66"/>
      <c r="J208" s="66"/>
      <c r="K208" s="66"/>
      <c r="L208" s="66"/>
      <c r="M208" s="84"/>
    </row>
    <row r="209" spans="2:13" x14ac:dyDescent="0.2">
      <c r="B209" s="60"/>
      <c r="C209" s="84"/>
      <c r="D209" s="66"/>
      <c r="E209" s="66"/>
      <c r="F209" s="66"/>
      <c r="G209" s="66"/>
      <c r="H209" s="66"/>
      <c r="I209" s="66"/>
      <c r="J209" s="66"/>
      <c r="K209" s="66"/>
      <c r="L209" s="66"/>
      <c r="M209" s="84"/>
    </row>
    <row r="210" spans="2:13" x14ac:dyDescent="0.2">
      <c r="B210" s="60"/>
      <c r="C210" s="84"/>
      <c r="D210" s="66"/>
      <c r="E210" s="66"/>
      <c r="F210" s="66"/>
      <c r="G210" s="66"/>
      <c r="H210" s="66"/>
      <c r="I210" s="66"/>
      <c r="J210" s="66"/>
      <c r="K210" s="66"/>
      <c r="L210" s="66"/>
      <c r="M210" s="84"/>
    </row>
    <row r="211" spans="2:13" x14ac:dyDescent="0.2">
      <c r="B211" s="60"/>
      <c r="C211" s="84"/>
      <c r="D211" s="66"/>
      <c r="E211" s="66"/>
      <c r="F211" s="66"/>
      <c r="G211" s="66"/>
      <c r="H211" s="66"/>
      <c r="I211" s="66"/>
      <c r="J211" s="66"/>
      <c r="K211" s="66"/>
      <c r="L211" s="66"/>
      <c r="M211" s="84"/>
    </row>
    <row r="212" spans="2:13" x14ac:dyDescent="0.2">
      <c r="B212" s="60"/>
      <c r="C212" s="84"/>
      <c r="D212" s="66"/>
      <c r="E212" s="66"/>
      <c r="F212" s="66"/>
      <c r="G212" s="66"/>
      <c r="H212" s="66"/>
      <c r="I212" s="66"/>
      <c r="J212" s="66"/>
      <c r="K212" s="66"/>
      <c r="L212" s="66"/>
      <c r="M212" s="84"/>
    </row>
    <row r="213" spans="2:13" x14ac:dyDescent="0.2">
      <c r="B213" s="60"/>
      <c r="C213" s="84"/>
      <c r="D213" s="66"/>
      <c r="E213" s="66"/>
      <c r="F213" s="66"/>
      <c r="G213" s="66"/>
      <c r="H213" s="66"/>
      <c r="I213" s="66"/>
      <c r="J213" s="66"/>
      <c r="K213" s="66"/>
      <c r="L213" s="66"/>
      <c r="M213" s="84"/>
    </row>
    <row r="214" spans="2:13" x14ac:dyDescent="0.2">
      <c r="B214" s="60"/>
      <c r="C214" s="84"/>
      <c r="D214" s="66"/>
      <c r="E214" s="66"/>
      <c r="F214" s="66"/>
      <c r="G214" s="66"/>
      <c r="H214" s="66"/>
      <c r="I214" s="66"/>
      <c r="J214" s="66"/>
      <c r="K214" s="66"/>
      <c r="L214" s="66"/>
      <c r="M214" s="84"/>
    </row>
    <row r="215" spans="2:13" x14ac:dyDescent="0.2">
      <c r="B215" s="60"/>
      <c r="C215" s="84"/>
      <c r="D215" s="66"/>
      <c r="E215" s="66"/>
      <c r="F215" s="66"/>
      <c r="G215" s="66"/>
      <c r="H215" s="66"/>
      <c r="I215" s="66"/>
      <c r="J215" s="66"/>
      <c r="K215" s="66"/>
      <c r="L215" s="66"/>
      <c r="M215" s="84"/>
    </row>
    <row r="216" spans="2:13" x14ac:dyDescent="0.2">
      <c r="B216" s="60"/>
      <c r="C216" s="84"/>
      <c r="D216" s="66"/>
      <c r="E216" s="66"/>
      <c r="F216" s="66"/>
      <c r="G216" s="66"/>
      <c r="H216" s="66"/>
      <c r="I216" s="66"/>
      <c r="J216" s="66"/>
      <c r="K216" s="66"/>
      <c r="L216" s="66"/>
      <c r="M216" s="84"/>
    </row>
    <row r="217" spans="2:13" x14ac:dyDescent="0.2">
      <c r="B217" s="60"/>
      <c r="C217" s="84"/>
      <c r="D217" s="66"/>
      <c r="E217" s="66"/>
      <c r="F217" s="66"/>
      <c r="G217" s="66"/>
      <c r="H217" s="66"/>
      <c r="I217" s="66"/>
      <c r="J217" s="66"/>
      <c r="K217" s="66"/>
      <c r="L217" s="66"/>
      <c r="M217" s="84"/>
    </row>
    <row r="218" spans="2:13" x14ac:dyDescent="0.2">
      <c r="B218" s="60"/>
      <c r="C218" s="84"/>
      <c r="D218" s="66"/>
      <c r="E218" s="66"/>
      <c r="F218" s="66"/>
      <c r="G218" s="66"/>
      <c r="H218" s="66"/>
      <c r="I218" s="66"/>
      <c r="J218" s="66"/>
      <c r="K218" s="66"/>
      <c r="L218" s="66"/>
      <c r="M218" s="84"/>
    </row>
    <row r="219" spans="2:13" x14ac:dyDescent="0.2">
      <c r="B219" s="60"/>
      <c r="C219" s="84"/>
      <c r="D219" s="66"/>
      <c r="E219" s="66"/>
      <c r="F219" s="66"/>
      <c r="G219" s="66"/>
      <c r="H219" s="66"/>
      <c r="I219" s="66"/>
      <c r="J219" s="66"/>
      <c r="K219" s="66"/>
      <c r="L219" s="66"/>
      <c r="M219" s="84"/>
    </row>
    <row r="220" spans="2:13" x14ac:dyDescent="0.2">
      <c r="B220" s="60"/>
      <c r="C220" s="84"/>
      <c r="D220" s="66"/>
      <c r="E220" s="66"/>
      <c r="F220" s="66"/>
      <c r="G220" s="66"/>
      <c r="H220" s="66"/>
      <c r="I220" s="66"/>
      <c r="J220" s="66"/>
      <c r="K220" s="66"/>
      <c r="L220" s="66"/>
      <c r="M220" s="84"/>
    </row>
    <row r="221" spans="2:13" x14ac:dyDescent="0.2">
      <c r="B221" s="60"/>
      <c r="C221" s="84"/>
      <c r="D221" s="66"/>
      <c r="E221" s="66"/>
      <c r="F221" s="66"/>
      <c r="G221" s="66"/>
      <c r="H221" s="66"/>
      <c r="I221" s="66"/>
      <c r="J221" s="66"/>
      <c r="K221" s="66"/>
      <c r="L221" s="66"/>
      <c r="M221" s="84"/>
    </row>
    <row r="222" spans="2:13" x14ac:dyDescent="0.2">
      <c r="B222" s="60"/>
      <c r="C222" s="84"/>
      <c r="D222" s="66"/>
      <c r="E222" s="66"/>
      <c r="F222" s="66"/>
      <c r="G222" s="66"/>
      <c r="H222" s="66"/>
      <c r="I222" s="66"/>
      <c r="J222" s="66"/>
      <c r="K222" s="66"/>
      <c r="L222" s="66"/>
      <c r="M222" s="84"/>
    </row>
    <row r="223" spans="2:13" x14ac:dyDescent="0.2">
      <c r="B223" s="60"/>
      <c r="C223" s="84"/>
      <c r="D223" s="66"/>
      <c r="E223" s="66"/>
      <c r="F223" s="66"/>
      <c r="G223" s="66"/>
      <c r="H223" s="66"/>
      <c r="I223" s="66"/>
      <c r="J223" s="66"/>
      <c r="K223" s="66"/>
      <c r="L223" s="66"/>
      <c r="M223" s="84"/>
    </row>
    <row r="224" spans="2:13" x14ac:dyDescent="0.2">
      <c r="B224" s="60"/>
      <c r="C224" s="84"/>
      <c r="D224" s="66"/>
      <c r="E224" s="66"/>
      <c r="F224" s="66"/>
      <c r="G224" s="66"/>
      <c r="H224" s="66"/>
      <c r="I224" s="66"/>
      <c r="J224" s="66"/>
      <c r="K224" s="66"/>
      <c r="L224" s="66"/>
      <c r="M224" s="84"/>
    </row>
    <row r="225" spans="2:13" x14ac:dyDescent="0.2">
      <c r="B225" s="60"/>
      <c r="C225" s="84"/>
      <c r="D225" s="66"/>
      <c r="E225" s="66"/>
      <c r="F225" s="66"/>
      <c r="G225" s="66"/>
      <c r="H225" s="66"/>
      <c r="I225" s="66"/>
      <c r="J225" s="66"/>
      <c r="K225" s="66"/>
      <c r="L225" s="66"/>
      <c r="M225" s="84"/>
    </row>
    <row r="226" spans="2:13" x14ac:dyDescent="0.2">
      <c r="B226" s="60"/>
      <c r="C226" s="84"/>
      <c r="D226" s="66"/>
      <c r="E226" s="66"/>
      <c r="F226" s="66"/>
      <c r="G226" s="66"/>
      <c r="H226" s="66"/>
      <c r="I226" s="66"/>
      <c r="J226" s="66"/>
      <c r="K226" s="66"/>
      <c r="L226" s="66"/>
      <c r="M226" s="84"/>
    </row>
    <row r="227" spans="2:13" x14ac:dyDescent="0.2">
      <c r="B227" s="60"/>
      <c r="C227" s="84"/>
      <c r="D227" s="66"/>
      <c r="E227" s="66"/>
      <c r="F227" s="66"/>
      <c r="G227" s="66"/>
      <c r="H227" s="66"/>
      <c r="I227" s="66"/>
      <c r="J227" s="66"/>
      <c r="K227" s="66"/>
      <c r="L227" s="66"/>
      <c r="M227" s="84"/>
    </row>
    <row r="228" spans="2:13" x14ac:dyDescent="0.2">
      <c r="B228" s="60"/>
      <c r="C228" s="84"/>
      <c r="D228" s="66"/>
      <c r="E228" s="66"/>
      <c r="F228" s="66"/>
      <c r="G228" s="66"/>
      <c r="H228" s="66"/>
      <c r="I228" s="66"/>
      <c r="J228" s="66"/>
      <c r="K228" s="66"/>
      <c r="L228" s="66"/>
      <c r="M228" s="84"/>
    </row>
    <row r="229" spans="2:13" x14ac:dyDescent="0.2">
      <c r="B229" s="60"/>
      <c r="C229" s="84"/>
      <c r="D229" s="66"/>
      <c r="E229" s="66"/>
      <c r="F229" s="66"/>
      <c r="G229" s="66"/>
      <c r="H229" s="66"/>
      <c r="I229" s="66"/>
      <c r="J229" s="66"/>
      <c r="K229" s="66"/>
      <c r="L229" s="66"/>
      <c r="M229" s="84"/>
    </row>
    <row r="230" spans="2:13" x14ac:dyDescent="0.2">
      <c r="B230" s="60"/>
      <c r="C230" s="84"/>
      <c r="D230" s="66"/>
      <c r="E230" s="66"/>
      <c r="F230" s="66"/>
      <c r="G230" s="66"/>
      <c r="H230" s="66"/>
      <c r="I230" s="66"/>
      <c r="J230" s="66"/>
      <c r="K230" s="66"/>
      <c r="L230" s="66"/>
      <c r="M230" s="84"/>
    </row>
    <row r="231" spans="2:13" x14ac:dyDescent="0.2">
      <c r="B231" s="60"/>
      <c r="C231" s="84"/>
      <c r="D231" s="66"/>
      <c r="E231" s="66"/>
      <c r="F231" s="66"/>
      <c r="G231" s="66"/>
      <c r="H231" s="66"/>
      <c r="I231" s="66"/>
      <c r="J231" s="66"/>
      <c r="K231" s="66"/>
      <c r="L231" s="66"/>
      <c r="M231" s="84"/>
    </row>
    <row r="232" spans="2:13" x14ac:dyDescent="0.2">
      <c r="B232" s="60"/>
      <c r="C232" s="84"/>
      <c r="D232" s="66"/>
      <c r="E232" s="66"/>
      <c r="F232" s="66"/>
      <c r="G232" s="66"/>
      <c r="H232" s="66"/>
      <c r="I232" s="66"/>
      <c r="J232" s="66"/>
      <c r="K232" s="66"/>
      <c r="L232" s="66"/>
      <c r="M232" s="84"/>
    </row>
    <row r="233" spans="2:13" x14ac:dyDescent="0.2">
      <c r="B233" s="60"/>
      <c r="C233" s="84"/>
      <c r="D233" s="66"/>
      <c r="E233" s="66"/>
      <c r="F233" s="66"/>
      <c r="G233" s="66"/>
      <c r="H233" s="66"/>
      <c r="I233" s="66"/>
      <c r="J233" s="66"/>
      <c r="K233" s="66"/>
      <c r="L233" s="66"/>
      <c r="M233" s="84"/>
    </row>
    <row r="234" spans="2:13" x14ac:dyDescent="0.2">
      <c r="B234" s="60"/>
      <c r="C234" s="84"/>
      <c r="D234" s="66"/>
      <c r="E234" s="39"/>
      <c r="F234" s="66"/>
      <c r="G234" s="66"/>
      <c r="H234" s="66"/>
      <c r="I234" s="66"/>
      <c r="J234" s="66"/>
      <c r="K234" s="66"/>
      <c r="L234" s="66"/>
      <c r="M234" s="84"/>
    </row>
    <row r="235" spans="2:13" x14ac:dyDescent="0.2">
      <c r="B235" s="60"/>
      <c r="C235" s="84"/>
      <c r="D235" s="66"/>
      <c r="E235" s="39"/>
      <c r="F235" s="66"/>
      <c r="G235" s="66"/>
      <c r="H235" s="66"/>
      <c r="I235" s="66"/>
      <c r="J235" s="66"/>
      <c r="K235" s="66"/>
      <c r="L235" s="66"/>
      <c r="M235" s="84"/>
    </row>
    <row r="236" spans="2:13" x14ac:dyDescent="0.2">
      <c r="B236" s="60"/>
      <c r="C236" s="84"/>
      <c r="D236" s="66"/>
      <c r="E236" s="39"/>
      <c r="F236" s="66"/>
      <c r="G236" s="66"/>
      <c r="H236" s="66"/>
      <c r="I236" s="66"/>
      <c r="J236" s="66"/>
      <c r="K236" s="66"/>
      <c r="L236" s="66"/>
      <c r="M236" s="84"/>
    </row>
    <row r="237" spans="2:13" x14ac:dyDescent="0.2">
      <c r="B237" s="60"/>
      <c r="C237" s="84"/>
      <c r="D237" s="66"/>
      <c r="E237" s="39"/>
      <c r="F237" s="66"/>
      <c r="G237" s="66"/>
      <c r="H237" s="66"/>
      <c r="I237" s="66"/>
      <c r="J237" s="66"/>
      <c r="K237" s="66"/>
      <c r="L237" s="66"/>
      <c r="M237" s="84"/>
    </row>
    <row r="238" spans="2:13" x14ac:dyDescent="0.2">
      <c r="B238" s="60"/>
      <c r="C238" s="84"/>
      <c r="D238" s="66"/>
      <c r="E238" s="39"/>
      <c r="F238" s="66"/>
      <c r="G238" s="66"/>
      <c r="H238" s="66"/>
      <c r="I238" s="66"/>
      <c r="J238" s="66"/>
      <c r="K238" s="66"/>
      <c r="L238" s="66"/>
      <c r="M238" s="84"/>
    </row>
    <row r="239" spans="2:13" x14ac:dyDescent="0.2">
      <c r="B239" s="60"/>
      <c r="C239" s="84"/>
      <c r="D239" s="66"/>
      <c r="E239" s="39"/>
      <c r="F239" s="66"/>
      <c r="G239" s="66"/>
      <c r="H239" s="66"/>
      <c r="I239" s="66"/>
      <c r="J239" s="66"/>
      <c r="K239" s="66"/>
      <c r="L239" s="66"/>
      <c r="M239" s="84"/>
    </row>
    <row r="240" spans="2:13" x14ac:dyDescent="0.2">
      <c r="B240" s="60"/>
      <c r="C240" s="84"/>
      <c r="D240" s="66"/>
      <c r="E240" s="39"/>
      <c r="F240" s="66"/>
      <c r="G240" s="66"/>
      <c r="H240" s="66"/>
      <c r="I240" s="66"/>
      <c r="J240" s="66"/>
      <c r="K240" s="66"/>
      <c r="L240" s="66"/>
      <c r="M240" s="84"/>
    </row>
  </sheetData>
  <sheetProtection algorithmName="SHA-512" hashValue="yYnCou0NK9IrgTvqLSgJySUi4Hvj2KiveqL2GDcgQDaruZa/brtYioTC6C+4Ygus5wJ6Dc10SL14GvEK2mKctw==" saltValue="OXNTRfHGyDGvOW5+pTaS0g==" spinCount="100000" sheet="1" objects="1" scenarios="1"/>
  <conditionalFormatting sqref="B2:M3 B5:M53">
    <cfRule type="cellIs" dxfId="83" priority="3" operator="equal">
      <formula>25</formula>
    </cfRule>
  </conditionalFormatting>
  <printOptions horizontalCentered="1" verticalCentered="1"/>
  <pageMargins left="0.25" right="0.25" top="0.75" bottom="0.75" header="0.3" footer="0.3"/>
  <pageSetup paperSize="9" scale="60" orientation="portrait" r:id="rId1"/>
  <headerFooter>
    <oddHeader>&amp;L&amp;"Calibri Light,Normal"&amp;22 100 PLATOS FU &amp;C&amp;"Calibri Light,Negrita"&amp;22 1ª Tirada 2026 "EL CERRO" &amp;R&amp;"Calibri Light,Normal"&amp;22&amp;D</oddHeader>
  </headerFooter>
  <drawing r:id="rId2"/>
  <webPublishItems count="2">
    <webPublishItem id="20389" divId="clasificacion_tirada_20389" sourceType="sheet" destinationFile="C:\Users\Usuario\Desktop\Pagina web\clasificacion_tercera.htm" title="CLASIFICACION TERCERA"/>
    <webPublishItem id="13964" divId="RegistroTiradores _Prueba_1_13964" sourceType="range" sourceRef="A2:M140" destinationFile="C:\Users\Usuario\Desktop\Pagina web\clasificacion_tirada.htm" title="Excel clasificacion tirada"/>
  </webPublishItems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2CFA2-81F2-4E98-99DB-D85D01A51CBA}">
  <sheetPr codeName="Hoja26">
    <pageSetUpPr fitToPage="1"/>
  </sheetPr>
  <dimension ref="A1:O212"/>
  <sheetViews>
    <sheetView showGridLines="0" showZeros="0" topLeftCell="A16" zoomScale="130" zoomScaleNormal="130" workbookViewId="0">
      <pane xSplit="2" topLeftCell="C1" activePane="topRight" state="frozen"/>
      <selection pane="topRight" activeCell="Q5" sqref="Q5"/>
    </sheetView>
  </sheetViews>
  <sheetFormatPr baseColWidth="10" defaultColWidth="11.42578125" defaultRowHeight="18" x14ac:dyDescent="0.2"/>
  <cols>
    <col min="1" max="1" width="11.42578125" style="48"/>
    <col min="2" max="2" width="6.28515625" style="74" customWidth="1"/>
    <col min="3" max="3" width="11.42578125" style="52" customWidth="1"/>
    <col min="4" max="4" width="43.28515625" style="75" customWidth="1"/>
    <col min="5" max="5" width="7.28515625" style="52" customWidth="1"/>
    <col min="6" max="7" width="6.5703125" style="52" customWidth="1"/>
    <col min="8" max="8" width="7" style="52" customWidth="1"/>
    <col min="9" max="9" width="6.5703125" style="52" customWidth="1"/>
    <col min="10" max="12" width="5.5703125" style="52" bestFit="1" customWidth="1"/>
    <col min="13" max="13" width="9.28515625" style="75" customWidth="1"/>
    <col min="14" max="14" width="9.7109375" style="52" customWidth="1"/>
    <col min="15" max="15" width="8.42578125" style="75" customWidth="1"/>
    <col min="16" max="16384" width="11.42578125" style="75"/>
  </cols>
  <sheetData>
    <row r="1" spans="1:15" ht="4.5" customHeight="1" x14ac:dyDescent="0.2"/>
    <row r="2" spans="1:15" s="87" customFormat="1" ht="51" customHeight="1" x14ac:dyDescent="0.2">
      <c r="A2" s="86"/>
      <c r="B2" s="150"/>
      <c r="C2" s="151" t="s">
        <v>415</v>
      </c>
      <c r="D2" s="152" t="s">
        <v>113</v>
      </c>
      <c r="E2" s="153" t="s">
        <v>416</v>
      </c>
      <c r="F2" s="154" t="s">
        <v>116</v>
      </c>
      <c r="G2" s="155" t="s">
        <v>117</v>
      </c>
      <c r="H2" s="153" t="s">
        <v>417</v>
      </c>
      <c r="I2" s="153" t="s">
        <v>418</v>
      </c>
      <c r="J2" s="153" t="s">
        <v>419</v>
      </c>
      <c r="K2" s="153" t="s">
        <v>420</v>
      </c>
      <c r="L2" s="153" t="s">
        <v>421</v>
      </c>
      <c r="M2" s="153" t="s">
        <v>422</v>
      </c>
      <c r="N2" s="155" t="s">
        <v>423</v>
      </c>
      <c r="O2" s="153" t="s">
        <v>424</v>
      </c>
    </row>
    <row r="3" spans="1:15" ht="24" customHeight="1" x14ac:dyDescent="0.2">
      <c r="C3" s="156"/>
      <c r="D3" s="157"/>
      <c r="E3" s="158"/>
      <c r="F3" s="159"/>
      <c r="G3" s="160">
        <v>1</v>
      </c>
      <c r="H3" s="158"/>
      <c r="I3" s="158"/>
      <c r="J3" s="158"/>
      <c r="K3" s="158"/>
      <c r="L3" s="158"/>
      <c r="M3" s="157"/>
      <c r="N3" s="158"/>
      <c r="O3" s="157"/>
    </row>
    <row r="4" spans="1:15" ht="25.5" customHeight="1" x14ac:dyDescent="0.2">
      <c r="G4" s="160">
        <v>2</v>
      </c>
    </row>
    <row r="5" spans="1:15" s="74" customFormat="1" ht="38.25" customHeight="1" x14ac:dyDescent="0.2">
      <c r="A5" s="48"/>
      <c r="B5" s="77"/>
      <c r="C5" s="88" t="s">
        <v>415</v>
      </c>
      <c r="D5" s="82" t="s">
        <v>113</v>
      </c>
      <c r="E5" s="83" t="s">
        <v>416</v>
      </c>
      <c r="F5" s="89" t="s">
        <v>116</v>
      </c>
      <c r="G5" s="85" t="s">
        <v>117</v>
      </c>
      <c r="H5" s="83" t="s">
        <v>417</v>
      </c>
      <c r="I5" s="83" t="s">
        <v>418</v>
      </c>
      <c r="J5" s="83" t="s">
        <v>419</v>
      </c>
      <c r="K5" s="83" t="s">
        <v>420</v>
      </c>
      <c r="L5" s="83" t="s">
        <v>421</v>
      </c>
      <c r="M5" s="83" t="s">
        <v>422</v>
      </c>
      <c r="N5" s="85" t="s">
        <v>423</v>
      </c>
      <c r="O5" s="83" t="s">
        <v>424</v>
      </c>
    </row>
    <row r="6" spans="1:15" x14ac:dyDescent="0.2">
      <c r="B6" s="77">
        <v>1</v>
      </c>
      <c r="C6" s="60" t="str">
        <f>INSCRIPCIONES!C17</f>
        <v>014</v>
      </c>
      <c r="D6" s="84" t="str">
        <f>INSCRIPCIONES!E17</f>
        <v>Esteban Lopez</v>
      </c>
      <c r="E6" s="66" t="str">
        <f>INSCRIPCIONES!G17</f>
        <v>BI</v>
      </c>
      <c r="F6" s="66">
        <f>INSCRIPCIONES!H17</f>
        <v>2</v>
      </c>
      <c r="G6" s="66">
        <f>INSCRIPCIONES!I17</f>
        <v>2</v>
      </c>
      <c r="H6" s="66" t="str">
        <f>INSCRIPCIONES!J17</f>
        <v>SR</v>
      </c>
      <c r="I6" s="66">
        <f>INSCRIPCIONES!K17</f>
        <v>24</v>
      </c>
      <c r="J6" s="66">
        <f>INSCRIPCIONES!L17</f>
        <v>24</v>
      </c>
      <c r="K6" s="66">
        <f>INSCRIPCIONES!M17</f>
        <v>22</v>
      </c>
      <c r="L6" s="66">
        <f>INSCRIPCIONES!N17</f>
        <v>25</v>
      </c>
      <c r="M6" s="84">
        <f>INSCRIPCIONES!O17</f>
        <v>95</v>
      </c>
      <c r="N6" s="66"/>
      <c r="O6" s="84">
        <f>SUM(TCategorias[[#This Row],[TOTAL]:[SHOOT OFF]])</f>
        <v>95</v>
      </c>
    </row>
    <row r="7" spans="1:15" x14ac:dyDescent="0.2">
      <c r="B7" s="77">
        <v>2</v>
      </c>
      <c r="C7" s="60" t="str">
        <f>INSCRIPCIONES!C14</f>
        <v>011</v>
      </c>
      <c r="D7" s="84" t="str">
        <f>INSCRIPCIONES!E14</f>
        <v>Josu Mendina Diz</v>
      </c>
      <c r="E7" s="66" t="str">
        <f>INSCRIPCIONES!G14</f>
        <v>VI</v>
      </c>
      <c r="F7" s="66">
        <f>INSCRIPCIONES!H14</f>
        <v>2</v>
      </c>
      <c r="G7" s="66">
        <f>INSCRIPCIONES!I14</f>
        <v>2</v>
      </c>
      <c r="H7" s="66" t="str">
        <f>INSCRIPCIONES!J14</f>
        <v>JR</v>
      </c>
      <c r="I7" s="66">
        <f>INSCRIPCIONES!K14</f>
        <v>20</v>
      </c>
      <c r="J7" s="66">
        <f>INSCRIPCIONES!L14</f>
        <v>21</v>
      </c>
      <c r="K7" s="66">
        <f>INSCRIPCIONES!M14</f>
        <v>23</v>
      </c>
      <c r="L7" s="66">
        <f>INSCRIPCIONES!N14</f>
        <v>20</v>
      </c>
      <c r="M7" s="84">
        <f>INSCRIPCIONES!O14</f>
        <v>84</v>
      </c>
      <c r="N7" s="66"/>
      <c r="O7" s="84">
        <f>SUM(TCategorias[[#This Row],[TOTAL]:[SHOOT OFF]])</f>
        <v>84</v>
      </c>
    </row>
    <row r="8" spans="1:15" x14ac:dyDescent="0.2">
      <c r="B8" s="77">
        <v>3</v>
      </c>
      <c r="C8" s="60" t="str">
        <f>INSCRIPCIONES!C46</f>
        <v>043</v>
      </c>
      <c r="D8" s="84" t="str">
        <f>INSCRIPCIONES!E46</f>
        <v>Jorge Javier Garcia Perez</v>
      </c>
      <c r="E8" s="66" t="str">
        <f>INSCRIPCIONES!G46</f>
        <v>BU</v>
      </c>
      <c r="F8" s="66">
        <f>INSCRIPCIONES!H46</f>
        <v>3</v>
      </c>
      <c r="G8" s="66">
        <f>INSCRIPCIONES!I46</f>
        <v>3</v>
      </c>
      <c r="H8" s="66" t="str">
        <f>INSCRIPCIONES!J46</f>
        <v>SR</v>
      </c>
      <c r="I8" s="66">
        <f>INSCRIPCIONES!K46</f>
        <v>21</v>
      </c>
      <c r="J8" s="66">
        <f>INSCRIPCIONES!L46</f>
        <v>19</v>
      </c>
      <c r="K8" s="66">
        <f>INSCRIPCIONES!M46</f>
        <v>18</v>
      </c>
      <c r="L8" s="66">
        <f>INSCRIPCIONES!N46</f>
        <v>22</v>
      </c>
      <c r="M8" s="84">
        <f>INSCRIPCIONES!O46</f>
        <v>80</v>
      </c>
      <c r="N8" s="66"/>
      <c r="O8" s="84">
        <f>SUM(TCategorias[[#This Row],[TOTAL]:[SHOOT OFF]])</f>
        <v>80</v>
      </c>
    </row>
    <row r="9" spans="1:15" x14ac:dyDescent="0.2">
      <c r="B9" s="77">
        <v>4</v>
      </c>
      <c r="C9" s="60" t="str">
        <f>INSCRIPCIONES!C39</f>
        <v>036</v>
      </c>
      <c r="D9" s="84" t="str">
        <f>INSCRIPCIONES!E39</f>
        <v>Guillermo Blanco Garcia</v>
      </c>
      <c r="E9" s="66" t="str">
        <f>INSCRIPCIONES!G39</f>
        <v>NA</v>
      </c>
      <c r="F9" s="66">
        <f>INSCRIPCIONES!H39</f>
        <v>3</v>
      </c>
      <c r="G9" s="66">
        <f>INSCRIPCIONES!I39</f>
        <v>3</v>
      </c>
      <c r="H9" s="66" t="str">
        <f>INSCRIPCIONES!J39</f>
        <v>SR</v>
      </c>
      <c r="I9" s="66">
        <f>INSCRIPCIONES!K39</f>
        <v>20</v>
      </c>
      <c r="J9" s="66">
        <f>INSCRIPCIONES!L39</f>
        <v>20</v>
      </c>
      <c r="K9" s="66">
        <f>INSCRIPCIONES!M39</f>
        <v>22</v>
      </c>
      <c r="L9" s="66">
        <f>INSCRIPCIONES!N39</f>
        <v>23</v>
      </c>
      <c r="M9" s="84">
        <f>INSCRIPCIONES!O39</f>
        <v>85</v>
      </c>
      <c r="N9" s="66"/>
      <c r="O9" s="84">
        <f>SUM(TCategorias[[#This Row],[TOTAL]:[SHOOT OFF]])</f>
        <v>85</v>
      </c>
    </row>
    <row r="10" spans="1:15" x14ac:dyDescent="0.2">
      <c r="B10" s="77">
        <v>5</v>
      </c>
      <c r="C10" s="60" t="str">
        <f>INSCRIPCIONES!C16</f>
        <v>013</v>
      </c>
      <c r="D10" s="84" t="str">
        <f>INSCRIPCIONES!E16</f>
        <v xml:space="preserve">Juan Jesus Andino Juarros </v>
      </c>
      <c r="E10" s="66" t="str">
        <f>INSCRIPCIONES!G16</f>
        <v>BI</v>
      </c>
      <c r="F10" s="66">
        <f>INSCRIPCIONES!H16</f>
        <v>3</v>
      </c>
      <c r="G10" s="66">
        <f>INSCRIPCIONES!I16</f>
        <v>3</v>
      </c>
      <c r="H10" s="66" t="str">
        <f>INSCRIPCIONES!J16</f>
        <v>VET</v>
      </c>
      <c r="I10" s="66">
        <f>INSCRIPCIONES!K16</f>
        <v>21</v>
      </c>
      <c r="J10" s="66">
        <f>INSCRIPCIONES!L16</f>
        <v>19</v>
      </c>
      <c r="K10" s="66">
        <f>INSCRIPCIONES!M16</f>
        <v>16</v>
      </c>
      <c r="L10" s="66">
        <f>INSCRIPCIONES!N16</f>
        <v>21</v>
      </c>
      <c r="M10" s="84">
        <f>INSCRIPCIONES!O16</f>
        <v>77</v>
      </c>
      <c r="N10" s="66"/>
      <c r="O10" s="84">
        <f>SUM(TCategorias[[#This Row],[TOTAL]:[SHOOT OFF]])</f>
        <v>77</v>
      </c>
    </row>
    <row r="11" spans="1:15" x14ac:dyDescent="0.2">
      <c r="B11" s="77">
        <v>6</v>
      </c>
      <c r="C11" s="60" t="str">
        <f>INSCRIPCIONES!C25</f>
        <v>022</v>
      </c>
      <c r="D11" s="84" t="str">
        <f>INSCRIPCIONES!E25</f>
        <v>Ricardo Rojo Gonzalez</v>
      </c>
      <c r="E11" s="66" t="str">
        <f>INSCRIPCIONES!G25</f>
        <v>BU</v>
      </c>
      <c r="F11" s="66">
        <f>INSCRIPCIONES!H25</f>
        <v>4</v>
      </c>
      <c r="G11" s="66">
        <f>INSCRIPCIONES!I25</f>
        <v>4</v>
      </c>
      <c r="H11" s="66" t="str">
        <f>INSCRIPCIONES!J25</f>
        <v>SR</v>
      </c>
      <c r="I11" s="66">
        <f>INSCRIPCIONES!K25</f>
        <v>15</v>
      </c>
      <c r="J11" s="66">
        <f>INSCRIPCIONES!L25</f>
        <v>13</v>
      </c>
      <c r="K11" s="66">
        <f>INSCRIPCIONES!M25</f>
        <v>12</v>
      </c>
      <c r="L11" s="66">
        <f>INSCRIPCIONES!N25</f>
        <v>19</v>
      </c>
      <c r="M11" s="84">
        <f>INSCRIPCIONES!O25</f>
        <v>59</v>
      </c>
      <c r="N11" s="66"/>
      <c r="O11" s="84">
        <f>SUM(TCategorias[[#This Row],[TOTAL]:[SHOOT OFF]])</f>
        <v>59</v>
      </c>
    </row>
    <row r="12" spans="1:15" x14ac:dyDescent="0.2">
      <c r="B12" s="77">
        <v>7</v>
      </c>
      <c r="C12" s="60" t="str">
        <f>INSCRIPCIONES!C45</f>
        <v>042</v>
      </c>
      <c r="D12" s="84" t="str">
        <f>INSCRIPCIONES!E45</f>
        <v>Arturo Ruiz Lopez</v>
      </c>
      <c r="E12" s="66" t="str">
        <f>INSCRIPCIONES!G45</f>
        <v>BU</v>
      </c>
      <c r="F12" s="66">
        <f>INSCRIPCIONES!H45</f>
        <v>2</v>
      </c>
      <c r="G12" s="66">
        <f>INSCRIPCIONES!I45</f>
        <v>2</v>
      </c>
      <c r="H12" s="66" t="str">
        <f>INSCRIPCIONES!J45</f>
        <v>SR</v>
      </c>
      <c r="I12" s="66">
        <f>INSCRIPCIONES!K45</f>
        <v>21</v>
      </c>
      <c r="J12" s="66">
        <f>INSCRIPCIONES!L45</f>
        <v>23</v>
      </c>
      <c r="K12" s="66">
        <f>INSCRIPCIONES!M45</f>
        <v>23</v>
      </c>
      <c r="L12" s="66">
        <f>INSCRIPCIONES!N45</f>
        <v>21</v>
      </c>
      <c r="M12" s="84">
        <f>INSCRIPCIONES!O45</f>
        <v>88</v>
      </c>
      <c r="N12" s="66"/>
      <c r="O12" s="84">
        <f>SUM(TCategorias[[#This Row],[TOTAL]:[SHOOT OFF]])</f>
        <v>88</v>
      </c>
    </row>
    <row r="13" spans="1:15" x14ac:dyDescent="0.2">
      <c r="B13" s="77">
        <v>8</v>
      </c>
      <c r="C13" s="60" t="str">
        <f>INSCRIPCIONES!C42</f>
        <v>039</v>
      </c>
      <c r="D13" s="84" t="str">
        <f>INSCRIPCIONES!E42</f>
        <v>Jairo Garcia Gil</v>
      </c>
      <c r="E13" s="66" t="str">
        <f>INSCRIPCIONES!G42</f>
        <v>BU</v>
      </c>
      <c r="F13" s="66">
        <f>INSCRIPCIONES!H42</f>
        <v>3</v>
      </c>
      <c r="G13" s="66">
        <f>INSCRIPCIONES!I42</f>
        <v>3</v>
      </c>
      <c r="H13" s="66" t="str">
        <f>INSCRIPCIONES!J42</f>
        <v>SR</v>
      </c>
      <c r="I13" s="66">
        <f>INSCRIPCIONES!K42</f>
        <v>23</v>
      </c>
      <c r="J13" s="66">
        <f>INSCRIPCIONES!L42</f>
        <v>22</v>
      </c>
      <c r="K13" s="66">
        <f>INSCRIPCIONES!M42</f>
        <v>21</v>
      </c>
      <c r="L13" s="66">
        <f>INSCRIPCIONES!N42</f>
        <v>20</v>
      </c>
      <c r="M13" s="84">
        <f>INSCRIPCIONES!O42</f>
        <v>86</v>
      </c>
      <c r="N13" s="66"/>
      <c r="O13" s="84">
        <f>SUM(TCategorias[[#This Row],[TOTAL]:[SHOOT OFF]])</f>
        <v>86</v>
      </c>
    </row>
    <row r="14" spans="1:15" x14ac:dyDescent="0.2">
      <c r="B14" s="77">
        <v>9</v>
      </c>
      <c r="C14" s="60" t="str">
        <f>INSCRIPCIONES!C30</f>
        <v>027</v>
      </c>
      <c r="D14" s="84" t="str">
        <f>INSCRIPCIONES!E30</f>
        <v>Eusebio Barquin Herreria</v>
      </c>
      <c r="E14" s="66" t="str">
        <f>INSCRIPCIONES!G30</f>
        <v>BI</v>
      </c>
      <c r="F14" s="66">
        <f>INSCRIPCIONES!H30</f>
        <v>4</v>
      </c>
      <c r="G14" s="66">
        <f>INSCRIPCIONES!I30</f>
        <v>2</v>
      </c>
      <c r="H14" s="66" t="str">
        <f>INSCRIPCIONES!J30</f>
        <v>SR</v>
      </c>
      <c r="I14" s="66">
        <f>INSCRIPCIONES!K30</f>
        <v>22</v>
      </c>
      <c r="J14" s="66">
        <f>INSCRIPCIONES!L30</f>
        <v>18</v>
      </c>
      <c r="K14" s="66">
        <f>INSCRIPCIONES!M30</f>
        <v>17</v>
      </c>
      <c r="L14" s="66">
        <f>INSCRIPCIONES!N30</f>
        <v>23</v>
      </c>
      <c r="M14" s="84">
        <f>INSCRIPCIONES!O30</f>
        <v>80</v>
      </c>
      <c r="N14" s="66"/>
      <c r="O14" s="84">
        <f>SUM(TCategorias[[#This Row],[TOTAL]:[SHOOT OFF]])</f>
        <v>80</v>
      </c>
    </row>
    <row r="15" spans="1:15" x14ac:dyDescent="0.2">
      <c r="B15" s="77">
        <v>10</v>
      </c>
      <c r="C15" s="60" t="str">
        <f>INSCRIPCIONES!C38</f>
        <v>035</v>
      </c>
      <c r="D15" s="84" t="str">
        <f>INSCRIPCIONES!E38</f>
        <v>Arnulfo Rodriguez Torrego</v>
      </c>
      <c r="E15" s="66" t="str">
        <f>INSCRIPCIONES!G38</f>
        <v>BU</v>
      </c>
      <c r="F15" s="66">
        <f>INSCRIPCIONES!H38</f>
        <v>3</v>
      </c>
      <c r="G15" s="66">
        <f>INSCRIPCIONES!I38</f>
        <v>3</v>
      </c>
      <c r="H15" s="66" t="str">
        <f>INSCRIPCIONES!J38</f>
        <v>SR</v>
      </c>
      <c r="I15" s="66">
        <f>INSCRIPCIONES!K38</f>
        <v>20</v>
      </c>
      <c r="J15" s="66">
        <f>INSCRIPCIONES!L38</f>
        <v>20</v>
      </c>
      <c r="K15" s="66">
        <f>INSCRIPCIONES!M38</f>
        <v>24</v>
      </c>
      <c r="L15" s="66">
        <f>INSCRIPCIONES!N38</f>
        <v>19</v>
      </c>
      <c r="M15" s="84">
        <f>INSCRIPCIONES!O38</f>
        <v>83</v>
      </c>
      <c r="N15" s="66"/>
      <c r="O15" s="84">
        <f>SUM(TCategorias[[#This Row],[TOTAL]:[SHOOT OFF]])</f>
        <v>83</v>
      </c>
    </row>
    <row r="16" spans="1:15" x14ac:dyDescent="0.2">
      <c r="B16" s="77">
        <v>11</v>
      </c>
      <c r="C16" s="60" t="str">
        <f>INSCRIPCIONES!C47</f>
        <v>044</v>
      </c>
      <c r="D16" s="84" t="str">
        <f>INSCRIPCIONES!E47</f>
        <v>Jose Tomas Barrio Mayor</v>
      </c>
      <c r="E16" s="66" t="str">
        <f>INSCRIPCIONES!G47</f>
        <v>BU</v>
      </c>
      <c r="F16" s="66">
        <f>INSCRIPCIONES!H47</f>
        <v>3</v>
      </c>
      <c r="G16" s="66">
        <f>INSCRIPCIONES!I47</f>
        <v>3</v>
      </c>
      <c r="H16" s="66" t="str">
        <f>INSCRIPCIONES!J47</f>
        <v>SR</v>
      </c>
      <c r="I16" s="66">
        <f>INSCRIPCIONES!K47</f>
        <v>20</v>
      </c>
      <c r="J16" s="66">
        <f>INSCRIPCIONES!L47</f>
        <v>15</v>
      </c>
      <c r="K16" s="66">
        <f>INSCRIPCIONES!M47</f>
        <v>18</v>
      </c>
      <c r="L16" s="66">
        <f>INSCRIPCIONES!N47</f>
        <v>18</v>
      </c>
      <c r="M16" s="84">
        <f>INSCRIPCIONES!O47</f>
        <v>71</v>
      </c>
      <c r="N16" s="66"/>
      <c r="O16" s="84">
        <f>SUM(TCategorias[[#This Row],[TOTAL]:[SHOOT OFF]])</f>
        <v>71</v>
      </c>
    </row>
    <row r="17" spans="2:15" x14ac:dyDescent="0.2">
      <c r="B17" s="77">
        <v>12</v>
      </c>
      <c r="C17" s="60" t="str">
        <f>INSCRIPCIONES!C48</f>
        <v>045</v>
      </c>
      <c r="D17" s="84" t="str">
        <f>INSCRIPCIONES!E48</f>
        <v>Luis Amo Fernandez</v>
      </c>
      <c r="E17" s="66" t="str">
        <f>INSCRIPCIONES!G48</f>
        <v>BU</v>
      </c>
      <c r="F17" s="66">
        <f>INSCRIPCIONES!H48</f>
        <v>4</v>
      </c>
      <c r="G17" s="66">
        <f>INSCRIPCIONES!I48</f>
        <v>4</v>
      </c>
      <c r="H17" s="66" t="str">
        <f>INSCRIPCIONES!J48</f>
        <v>SR</v>
      </c>
      <c r="I17" s="66">
        <f>INSCRIPCIONES!K48</f>
        <v>20</v>
      </c>
      <c r="J17" s="66">
        <f>INSCRIPCIONES!L48</f>
        <v>22</v>
      </c>
      <c r="K17" s="66">
        <f>INSCRIPCIONES!M48</f>
        <v>21</v>
      </c>
      <c r="L17" s="66">
        <f>INSCRIPCIONES!N48</f>
        <v>22</v>
      </c>
      <c r="M17" s="84">
        <f>INSCRIPCIONES!O48</f>
        <v>85</v>
      </c>
      <c r="N17" s="66"/>
      <c r="O17" s="84">
        <f>SUM(TCategorias[[#This Row],[TOTAL]:[SHOOT OFF]])</f>
        <v>85</v>
      </c>
    </row>
    <row r="18" spans="2:15" x14ac:dyDescent="0.2">
      <c r="B18" s="77">
        <v>13</v>
      </c>
      <c r="C18" s="60">
        <f>INSCRIPCIONES!C64</f>
        <v>0</v>
      </c>
      <c r="D18" s="84" t="str">
        <f>INSCRIPCIONES!E64</f>
        <v/>
      </c>
      <c r="E18" s="66" t="str">
        <f>INSCRIPCIONES!G64</f>
        <v/>
      </c>
      <c r="F18" s="66" t="str">
        <f>INSCRIPCIONES!H64</f>
        <v/>
      </c>
      <c r="G18" s="66" t="str">
        <f>INSCRIPCIONES!I64</f>
        <v/>
      </c>
      <c r="H18" s="66" t="str">
        <f>INSCRIPCIONES!J64</f>
        <v/>
      </c>
      <c r="I18" s="66">
        <f>INSCRIPCIONES!K64</f>
        <v>0</v>
      </c>
      <c r="J18" s="66">
        <f>INSCRIPCIONES!L64</f>
        <v>0</v>
      </c>
      <c r="K18" s="66">
        <f>INSCRIPCIONES!M64</f>
        <v>0</v>
      </c>
      <c r="L18" s="66">
        <f>INSCRIPCIONES!N64</f>
        <v>0</v>
      </c>
      <c r="M18" s="84">
        <f>INSCRIPCIONES!O64</f>
        <v>0</v>
      </c>
      <c r="N18" s="66"/>
      <c r="O18" s="84">
        <f>SUM(TCategorias[[#This Row],[TOTAL]:[SHOOT OFF]])</f>
        <v>0</v>
      </c>
    </row>
    <row r="19" spans="2:15" x14ac:dyDescent="0.2">
      <c r="B19" s="77">
        <v>14</v>
      </c>
      <c r="C19" s="60">
        <f>INSCRIPCIONES!C68</f>
        <v>0</v>
      </c>
      <c r="D19" s="84" t="str">
        <f>INSCRIPCIONES!E68</f>
        <v/>
      </c>
      <c r="E19" s="66" t="str">
        <f>INSCRIPCIONES!G68</f>
        <v/>
      </c>
      <c r="F19" s="66" t="str">
        <f>INSCRIPCIONES!H68</f>
        <v/>
      </c>
      <c r="G19" s="66" t="str">
        <f>INSCRIPCIONES!I68</f>
        <v/>
      </c>
      <c r="H19" s="66" t="str">
        <f>INSCRIPCIONES!J68</f>
        <v/>
      </c>
      <c r="I19" s="66">
        <f>INSCRIPCIONES!K68</f>
        <v>0</v>
      </c>
      <c r="J19" s="66">
        <f>INSCRIPCIONES!L68</f>
        <v>0</v>
      </c>
      <c r="K19" s="66">
        <f>INSCRIPCIONES!M68</f>
        <v>0</v>
      </c>
      <c r="L19" s="66">
        <f>INSCRIPCIONES!N68</f>
        <v>0</v>
      </c>
      <c r="M19" s="84">
        <f>INSCRIPCIONES!O68</f>
        <v>0</v>
      </c>
      <c r="N19" s="66"/>
      <c r="O19" s="84">
        <f>SUM(TCategorias[[#This Row],[TOTAL]:[SHOOT OFF]])</f>
        <v>0</v>
      </c>
    </row>
    <row r="20" spans="2:15" x14ac:dyDescent="0.2">
      <c r="B20" s="77">
        <v>15</v>
      </c>
      <c r="C20" s="60" t="str">
        <f>INSCRIPCIONES!C13</f>
        <v>010</v>
      </c>
      <c r="D20" s="84" t="str">
        <f>INSCRIPCIONES!E13</f>
        <v>Jose Luis Medina Martinez</v>
      </c>
      <c r="E20" s="66" t="str">
        <f>INSCRIPCIONES!G13</f>
        <v>VI</v>
      </c>
      <c r="F20" s="66">
        <f>INSCRIPCIONES!H13</f>
        <v>3</v>
      </c>
      <c r="G20" s="66">
        <f>INSCRIPCIONES!I13</f>
        <v>3</v>
      </c>
      <c r="H20" s="66" t="str">
        <f>INSCRIPCIONES!J13</f>
        <v>VET</v>
      </c>
      <c r="I20" s="66">
        <f>INSCRIPCIONES!K13</f>
        <v>20</v>
      </c>
      <c r="J20" s="66">
        <f>INSCRIPCIONES!L13</f>
        <v>18</v>
      </c>
      <c r="K20" s="66">
        <f>INSCRIPCIONES!M13</f>
        <v>22</v>
      </c>
      <c r="L20" s="66">
        <f>INSCRIPCIONES!N13</f>
        <v>16</v>
      </c>
      <c r="M20" s="84">
        <f>INSCRIPCIONES!O13</f>
        <v>76</v>
      </c>
      <c r="N20" s="66"/>
      <c r="O20" s="84">
        <f>SUM(TCategorias[[#This Row],[TOTAL]:[SHOOT OFF]])</f>
        <v>76</v>
      </c>
    </row>
    <row r="21" spans="2:15" x14ac:dyDescent="0.2">
      <c r="B21" s="77">
        <v>16</v>
      </c>
      <c r="C21" s="60" t="str">
        <f>INSCRIPCIONES!C9</f>
        <v>006</v>
      </c>
      <c r="D21" s="84" t="str">
        <f>INSCRIPCIONES!E9</f>
        <v>Roberto Santamaria Alonso</v>
      </c>
      <c r="E21" s="66" t="str">
        <f>INSCRIPCIONES!G9</f>
        <v>BU</v>
      </c>
      <c r="F21" s="66">
        <f>INSCRIPCIONES!H9</f>
        <v>3</v>
      </c>
      <c r="G21" s="66">
        <f>INSCRIPCIONES!I9</f>
        <v>3</v>
      </c>
      <c r="H21" s="66" t="str">
        <f>INSCRIPCIONES!J9</f>
        <v>SR</v>
      </c>
      <c r="I21" s="66">
        <f>INSCRIPCIONES!K9</f>
        <v>17</v>
      </c>
      <c r="J21" s="66">
        <f>INSCRIPCIONES!L9</f>
        <v>20</v>
      </c>
      <c r="K21" s="66">
        <f>INSCRIPCIONES!M9</f>
        <v>22</v>
      </c>
      <c r="L21" s="66">
        <f>INSCRIPCIONES!N9</f>
        <v>22</v>
      </c>
      <c r="M21" s="84">
        <f>INSCRIPCIONES!O9</f>
        <v>81</v>
      </c>
      <c r="N21" s="66"/>
      <c r="O21" s="84">
        <f>SUM(TCategorias[[#This Row],[TOTAL]:[SHOOT OFF]])</f>
        <v>81</v>
      </c>
    </row>
    <row r="22" spans="2:15" x14ac:dyDescent="0.2">
      <c r="B22" s="77">
        <v>17</v>
      </c>
      <c r="C22" s="60" t="str">
        <f>INSCRIPCIONES!C15</f>
        <v>012</v>
      </c>
      <c r="D22" s="84" t="str">
        <f>INSCRIPCIONES!E15</f>
        <v>Julian Ochoa Bartolome</v>
      </c>
      <c r="E22" s="66" t="str">
        <f>INSCRIPCIONES!G15</f>
        <v>BU</v>
      </c>
      <c r="F22" s="66">
        <f>INSCRIPCIONES!H15</f>
        <v>2</v>
      </c>
      <c r="G22" s="66">
        <f>INSCRIPCIONES!I15</f>
        <v>2</v>
      </c>
      <c r="H22" s="66" t="str">
        <f>INSCRIPCIONES!J15</f>
        <v>SR</v>
      </c>
      <c r="I22" s="66">
        <f>INSCRIPCIONES!K15</f>
        <v>23</v>
      </c>
      <c r="J22" s="66">
        <f>INSCRIPCIONES!L15</f>
        <v>23</v>
      </c>
      <c r="K22" s="66">
        <f>INSCRIPCIONES!M15</f>
        <v>22</v>
      </c>
      <c r="L22" s="66">
        <f>INSCRIPCIONES!N15</f>
        <v>25</v>
      </c>
      <c r="M22" s="84">
        <f>INSCRIPCIONES!O15</f>
        <v>93</v>
      </c>
      <c r="N22" s="66"/>
      <c r="O22" s="84">
        <f>SUM(TCategorias[[#This Row],[TOTAL]:[SHOOT OFF]])</f>
        <v>93</v>
      </c>
    </row>
    <row r="23" spans="2:15" x14ac:dyDescent="0.2">
      <c r="B23" s="77">
        <v>18</v>
      </c>
      <c r="C23" s="60" t="str">
        <f>INSCRIPCIONES!C11</f>
        <v>008</v>
      </c>
      <c r="D23" s="84" t="str">
        <f>INSCRIPCIONES!E11</f>
        <v>Julio Jimenez Alvarez</v>
      </c>
      <c r="E23" s="66" t="str">
        <f>INSCRIPCIONES!G11</f>
        <v>SG</v>
      </c>
      <c r="F23" s="66">
        <f>INSCRIPCIONES!H11</f>
        <v>1</v>
      </c>
      <c r="G23" s="66">
        <f>INSCRIPCIONES!I11</f>
        <v>1</v>
      </c>
      <c r="H23" s="66" t="str">
        <f>INSCRIPCIONES!J11</f>
        <v>SR</v>
      </c>
      <c r="I23" s="66">
        <f>INSCRIPCIONES!K11</f>
        <v>23</v>
      </c>
      <c r="J23" s="66">
        <f>INSCRIPCIONES!L11</f>
        <v>24</v>
      </c>
      <c r="K23" s="66">
        <f>INSCRIPCIONES!M11</f>
        <v>25</v>
      </c>
      <c r="L23" s="66">
        <f>INSCRIPCIONES!N11</f>
        <v>24</v>
      </c>
      <c r="M23" s="84">
        <f>INSCRIPCIONES!O11</f>
        <v>96</v>
      </c>
      <c r="N23" s="66"/>
      <c r="O23" s="84">
        <f>SUM(TCategorias[[#This Row],[TOTAL]:[SHOOT OFF]])</f>
        <v>96</v>
      </c>
    </row>
    <row r="24" spans="2:15" x14ac:dyDescent="0.2">
      <c r="B24" s="77">
        <v>19</v>
      </c>
      <c r="C24" s="60" t="str">
        <f>INSCRIPCIONES!C41</f>
        <v>038</v>
      </c>
      <c r="D24" s="84" t="str">
        <f>INSCRIPCIONES!E41</f>
        <v>Alejandro Gil Ortiz</v>
      </c>
      <c r="E24" s="66" t="str">
        <f>INSCRIPCIONES!G41</f>
        <v>BU</v>
      </c>
      <c r="F24" s="66">
        <f>INSCRIPCIONES!H41</f>
        <v>2</v>
      </c>
      <c r="G24" s="66">
        <f>INSCRIPCIONES!I41</f>
        <v>2</v>
      </c>
      <c r="H24" s="66" t="str">
        <f>INSCRIPCIONES!J41</f>
        <v>SR</v>
      </c>
      <c r="I24" s="66">
        <f>INSCRIPCIONES!K41</f>
        <v>21</v>
      </c>
      <c r="J24" s="66">
        <f>INSCRIPCIONES!L41</f>
        <v>23</v>
      </c>
      <c r="K24" s="66">
        <f>INSCRIPCIONES!M41</f>
        <v>23</v>
      </c>
      <c r="L24" s="66">
        <f>INSCRIPCIONES!N41</f>
        <v>19</v>
      </c>
      <c r="M24" s="84">
        <f>INSCRIPCIONES!O41</f>
        <v>86</v>
      </c>
      <c r="N24" s="66"/>
      <c r="O24" s="84">
        <f>SUM(TCategorias[[#This Row],[TOTAL]:[SHOOT OFF]])</f>
        <v>86</v>
      </c>
    </row>
    <row r="25" spans="2:15" x14ac:dyDescent="0.2">
      <c r="B25" s="77">
        <v>20</v>
      </c>
      <c r="C25" s="60">
        <f>INSCRIPCIONES!C69</f>
        <v>0</v>
      </c>
      <c r="D25" s="84" t="str">
        <f>INSCRIPCIONES!E69</f>
        <v/>
      </c>
      <c r="E25" s="66" t="str">
        <f>INSCRIPCIONES!G69</f>
        <v/>
      </c>
      <c r="F25" s="66" t="str">
        <f>INSCRIPCIONES!H69</f>
        <v/>
      </c>
      <c r="G25" s="66" t="str">
        <f>INSCRIPCIONES!I69</f>
        <v/>
      </c>
      <c r="H25" s="66" t="str">
        <f>INSCRIPCIONES!J69</f>
        <v/>
      </c>
      <c r="I25" s="66">
        <f>INSCRIPCIONES!K69</f>
        <v>0</v>
      </c>
      <c r="J25" s="66">
        <f>INSCRIPCIONES!L69</f>
        <v>0</v>
      </c>
      <c r="K25" s="66">
        <f>INSCRIPCIONES!M69</f>
        <v>0</v>
      </c>
      <c r="L25" s="66">
        <f>INSCRIPCIONES!N69</f>
        <v>0</v>
      </c>
      <c r="M25" s="84">
        <f>INSCRIPCIONES!O69</f>
        <v>0</v>
      </c>
      <c r="N25" s="66"/>
      <c r="O25" s="84">
        <f>SUM(TCategorias[[#This Row],[TOTAL]:[SHOOT OFF]])</f>
        <v>0</v>
      </c>
    </row>
    <row r="26" spans="2:15" x14ac:dyDescent="0.2">
      <c r="B26" s="77">
        <v>21</v>
      </c>
      <c r="C26" s="60" t="str">
        <f>INSCRIPCIONES!C36</f>
        <v>033</v>
      </c>
      <c r="D26" s="84" t="str">
        <f>INSCRIPCIONES!E36</f>
        <v>Vidal Calvo Elena</v>
      </c>
      <c r="E26" s="66" t="str">
        <f>INSCRIPCIONES!G36</f>
        <v>BU</v>
      </c>
      <c r="F26" s="66">
        <f>INSCRIPCIONES!H36</f>
        <v>3</v>
      </c>
      <c r="G26" s="66">
        <f>INSCRIPCIONES!I36</f>
        <v>3</v>
      </c>
      <c r="H26" s="66" t="str">
        <f>INSCRIPCIONES!J36</f>
        <v>SR</v>
      </c>
      <c r="I26" s="66">
        <f>INSCRIPCIONES!K36</f>
        <v>21</v>
      </c>
      <c r="J26" s="66">
        <f>INSCRIPCIONES!L36</f>
        <v>21</v>
      </c>
      <c r="K26" s="66">
        <f>INSCRIPCIONES!M36</f>
        <v>22</v>
      </c>
      <c r="L26" s="66">
        <f>INSCRIPCIONES!N36</f>
        <v>22</v>
      </c>
      <c r="M26" s="84">
        <f>INSCRIPCIONES!O36</f>
        <v>86</v>
      </c>
      <c r="N26" s="66"/>
      <c r="O26" s="84">
        <f>SUM(TCategorias[[#This Row],[TOTAL]:[SHOOT OFF]])</f>
        <v>86</v>
      </c>
    </row>
    <row r="27" spans="2:15" x14ac:dyDescent="0.2">
      <c r="B27" s="77">
        <v>22</v>
      </c>
      <c r="C27" s="60" t="str">
        <f>INSCRIPCIONES!C40</f>
        <v>037</v>
      </c>
      <c r="D27" s="84" t="str">
        <f>INSCRIPCIONES!E40</f>
        <v>Ivan Salvador Gonzalez</v>
      </c>
      <c r="E27" s="66" t="str">
        <f>INSCRIPCIONES!G40</f>
        <v>BU</v>
      </c>
      <c r="F27" s="66">
        <f>INSCRIPCIONES!H40</f>
        <v>3</v>
      </c>
      <c r="G27" s="66">
        <f>INSCRIPCIONES!I40</f>
        <v>3</v>
      </c>
      <c r="H27" s="66" t="str">
        <f>INSCRIPCIONES!J40</f>
        <v>SR</v>
      </c>
      <c r="I27" s="66">
        <f>INSCRIPCIONES!K40</f>
        <v>24</v>
      </c>
      <c r="J27" s="66">
        <f>INSCRIPCIONES!L40</f>
        <v>21</v>
      </c>
      <c r="K27" s="66">
        <f>INSCRIPCIONES!M40</f>
        <v>21</v>
      </c>
      <c r="L27" s="66">
        <f>INSCRIPCIONES!N40</f>
        <v>19</v>
      </c>
      <c r="M27" s="84">
        <f>INSCRIPCIONES!O40</f>
        <v>85</v>
      </c>
      <c r="N27" s="66"/>
      <c r="O27" s="84">
        <f>SUM(TCategorias[[#This Row],[TOTAL]:[SHOOT OFF]])</f>
        <v>85</v>
      </c>
    </row>
    <row r="28" spans="2:15" x14ac:dyDescent="0.2">
      <c r="B28" s="77">
        <v>23</v>
      </c>
      <c r="C28" s="60" t="str">
        <f>INSCRIPCIONES!C21</f>
        <v>018</v>
      </c>
      <c r="D28" s="84" t="str">
        <f>INSCRIPCIONES!E21</f>
        <v>Jose Luis Beitia Goicolea</v>
      </c>
      <c r="E28" s="66" t="str">
        <f>INSCRIPCIONES!G21</f>
        <v>BI</v>
      </c>
      <c r="F28" s="66">
        <f>INSCRIPCIONES!H21</f>
        <v>2</v>
      </c>
      <c r="G28" s="66">
        <f>INSCRIPCIONES!I21</f>
        <v>2</v>
      </c>
      <c r="H28" s="66" t="str">
        <f>INSCRIPCIONES!J21</f>
        <v>SR</v>
      </c>
      <c r="I28" s="66">
        <f>INSCRIPCIONES!K21</f>
        <v>22</v>
      </c>
      <c r="J28" s="66">
        <f>INSCRIPCIONES!L21</f>
        <v>20</v>
      </c>
      <c r="K28" s="66">
        <f>INSCRIPCIONES!M21</f>
        <v>24</v>
      </c>
      <c r="L28" s="66">
        <f>INSCRIPCIONES!N4</f>
        <v>20</v>
      </c>
      <c r="M28" s="84">
        <f>INSCRIPCIONES!O21</f>
        <v>90</v>
      </c>
      <c r="N28" s="66"/>
      <c r="O28" s="84">
        <f>SUM(TCategorias[[#This Row],[TOTAL]:[SHOOT OFF]])</f>
        <v>90</v>
      </c>
    </row>
    <row r="29" spans="2:15" x14ac:dyDescent="0.2">
      <c r="B29" s="77">
        <v>24</v>
      </c>
      <c r="C29" s="60" t="str">
        <f>INSCRIPCIONES!C31</f>
        <v>028</v>
      </c>
      <c r="D29" s="84" t="str">
        <f>INSCRIPCIONES!E31</f>
        <v>Flor Rojo</v>
      </c>
      <c r="E29" s="66" t="str">
        <f>INSCRIPCIONES!G31</f>
        <v>P</v>
      </c>
      <c r="F29" s="66">
        <f>INSCRIPCIONES!H31</f>
        <v>4</v>
      </c>
      <c r="G29" s="66">
        <f>INSCRIPCIONES!I31</f>
        <v>4</v>
      </c>
      <c r="H29" s="66" t="str">
        <f>INSCRIPCIONES!J31</f>
        <v>DM</v>
      </c>
      <c r="I29" s="66">
        <f>INSCRIPCIONES!K31</f>
        <v>20</v>
      </c>
      <c r="J29" s="66">
        <f>INSCRIPCIONES!L31</f>
        <v>19</v>
      </c>
      <c r="K29" s="66">
        <f>INSCRIPCIONES!M31</f>
        <v>19</v>
      </c>
      <c r="L29" s="66">
        <f>INSCRIPCIONES!N31</f>
        <v>16</v>
      </c>
      <c r="M29" s="84">
        <f>INSCRIPCIONES!O31</f>
        <v>74</v>
      </c>
      <c r="N29" s="66"/>
      <c r="O29" s="84">
        <f>SUM(TCategorias[[#This Row],[TOTAL]:[SHOOT OFF]])</f>
        <v>74</v>
      </c>
    </row>
    <row r="30" spans="2:15" x14ac:dyDescent="0.2">
      <c r="B30" s="77">
        <v>25</v>
      </c>
      <c r="C30" s="60" t="str">
        <f>INSCRIPCIONES!C10</f>
        <v>007</v>
      </c>
      <c r="D30" s="84" t="str">
        <f>INSCRIPCIONES!E10</f>
        <v>Pascual Pacheco Pacheco</v>
      </c>
      <c r="E30" s="66" t="str">
        <f>INSCRIPCIONES!G10</f>
        <v>SG</v>
      </c>
      <c r="F30" s="66">
        <f>INSCRIPCIONES!H10</f>
        <v>1</v>
      </c>
      <c r="G30" s="66">
        <f>INSCRIPCIONES!I10</f>
        <v>1</v>
      </c>
      <c r="H30" s="66" t="str">
        <f>INSCRIPCIONES!J10</f>
        <v>SR</v>
      </c>
      <c r="I30" s="66">
        <f>INSCRIPCIONES!K10</f>
        <v>24</v>
      </c>
      <c r="J30" s="66">
        <f>INSCRIPCIONES!L10</f>
        <v>24</v>
      </c>
      <c r="K30" s="66">
        <f>INSCRIPCIONES!M10</f>
        <v>21</v>
      </c>
      <c r="L30" s="66">
        <f>INSCRIPCIONES!N10</f>
        <v>25</v>
      </c>
      <c r="M30" s="84">
        <f>INSCRIPCIONES!O10</f>
        <v>94</v>
      </c>
      <c r="N30" s="66"/>
      <c r="O30" s="84">
        <f>SUM(TCategorias[[#This Row],[TOTAL]:[SHOOT OFF]])</f>
        <v>94</v>
      </c>
    </row>
    <row r="31" spans="2:15" x14ac:dyDescent="0.2">
      <c r="B31" s="77">
        <v>26</v>
      </c>
      <c r="C31" s="60" t="str">
        <f>INSCRIPCIONES!C32</f>
        <v>029</v>
      </c>
      <c r="D31" s="84" t="str">
        <f>INSCRIPCIONES!E32</f>
        <v>Jose Herrera</v>
      </c>
      <c r="E31" s="66" t="str">
        <f>INSCRIPCIONES!G32</f>
        <v>P</v>
      </c>
      <c r="F31" s="66">
        <f>INSCRIPCIONES!H32</f>
        <v>2</v>
      </c>
      <c r="G31" s="66">
        <f>INSCRIPCIONES!I32</f>
        <v>2</v>
      </c>
      <c r="H31" s="66" t="str">
        <f>INSCRIPCIONES!J32</f>
        <v>SR</v>
      </c>
      <c r="I31" s="66">
        <f>INSCRIPCIONES!K32</f>
        <v>18</v>
      </c>
      <c r="J31" s="66">
        <f>INSCRIPCIONES!L32</f>
        <v>20</v>
      </c>
      <c r="K31" s="66">
        <f>INSCRIPCIONES!M32</f>
        <v>18</v>
      </c>
      <c r="L31" s="66">
        <f>INSCRIPCIONES!N32</f>
        <v>19</v>
      </c>
      <c r="M31" s="84">
        <f>INSCRIPCIONES!O32</f>
        <v>75</v>
      </c>
      <c r="N31" s="66"/>
      <c r="O31" s="84">
        <f>SUM(TCategorias[[#This Row],[TOTAL]:[SHOOT OFF]])</f>
        <v>75</v>
      </c>
    </row>
    <row r="32" spans="2:15" x14ac:dyDescent="0.2">
      <c r="B32" s="77">
        <v>27</v>
      </c>
      <c r="C32" s="60" t="str">
        <f>INSCRIPCIONES!C22</f>
        <v>019</v>
      </c>
      <c r="D32" s="84" t="str">
        <f>INSCRIPCIONES!E22</f>
        <v>Jose Luis Miguel "BILLI"</v>
      </c>
      <c r="E32" s="66" t="str">
        <f>INSCRIPCIONES!G22</f>
        <v>SG</v>
      </c>
      <c r="F32" s="66">
        <f>INSCRIPCIONES!H22</f>
        <v>2</v>
      </c>
      <c r="G32" s="66">
        <f>INSCRIPCIONES!I22</f>
        <v>2</v>
      </c>
      <c r="H32" s="66" t="str">
        <f>INSCRIPCIONES!J22</f>
        <v>SR</v>
      </c>
      <c r="I32" s="66">
        <f>INSCRIPCIONES!K22</f>
        <v>25</v>
      </c>
      <c r="J32" s="66">
        <f>INSCRIPCIONES!L22</f>
        <v>23</v>
      </c>
      <c r="K32" s="66">
        <f>INSCRIPCIONES!M22</f>
        <v>24</v>
      </c>
      <c r="L32" s="66">
        <f>INSCRIPCIONES!N22</f>
        <v>22</v>
      </c>
      <c r="M32" s="84">
        <f>INSCRIPCIONES!O22</f>
        <v>94</v>
      </c>
      <c r="N32" s="66"/>
      <c r="O32" s="84">
        <f>SUM(TCategorias[[#This Row],[TOTAL]:[SHOOT OFF]])</f>
        <v>94</v>
      </c>
    </row>
    <row r="33" spans="2:15" x14ac:dyDescent="0.2">
      <c r="B33" s="77">
        <v>28</v>
      </c>
      <c r="C33" s="60" t="str">
        <f>INSCRIPCIONES!C19</f>
        <v>016</v>
      </c>
      <c r="D33" s="84" t="str">
        <f>INSCRIPCIONES!E19</f>
        <v>Galder Garcia Astigarraga</v>
      </c>
      <c r="E33" s="66" t="str">
        <f>INSCRIPCIONES!G19</f>
        <v>BI</v>
      </c>
      <c r="F33" s="66">
        <f>INSCRIPCIONES!H19</f>
        <v>3</v>
      </c>
      <c r="G33" s="66">
        <f>INSCRIPCIONES!I19</f>
        <v>3</v>
      </c>
      <c r="H33" s="66" t="str">
        <f>INSCRIPCIONES!J19</f>
        <v>JR</v>
      </c>
      <c r="I33" s="66">
        <f>INSCRIPCIONES!K19</f>
        <v>21</v>
      </c>
      <c r="J33" s="66">
        <f>INSCRIPCIONES!L19</f>
        <v>23</v>
      </c>
      <c r="K33" s="66">
        <f>INSCRIPCIONES!M19</f>
        <v>23</v>
      </c>
      <c r="L33" s="66">
        <f>INSCRIPCIONES!N19</f>
        <v>22</v>
      </c>
      <c r="M33" s="84">
        <f>INSCRIPCIONES!O19</f>
        <v>89</v>
      </c>
      <c r="N33" s="66"/>
      <c r="O33" s="84">
        <f>SUM(TCategorias[[#This Row],[TOTAL]:[SHOOT OFF]])</f>
        <v>89</v>
      </c>
    </row>
    <row r="34" spans="2:15" x14ac:dyDescent="0.2">
      <c r="B34" s="77">
        <v>29</v>
      </c>
      <c r="C34" s="60" t="str">
        <f>INSCRIPCIONES!C12</f>
        <v>009</v>
      </c>
      <c r="D34" s="84" t="str">
        <f>INSCRIPCIONES!E12</f>
        <v xml:space="preserve">Gregorio Fuentes Manzano </v>
      </c>
      <c r="E34" s="66" t="str">
        <f>INSCRIPCIONES!G12</f>
        <v>M</v>
      </c>
      <c r="F34" s="66">
        <f>INSCRIPCIONES!H12</f>
        <v>1</v>
      </c>
      <c r="G34" s="66">
        <f>INSCRIPCIONES!I12</f>
        <v>1</v>
      </c>
      <c r="H34" s="66" t="str">
        <f>INSCRIPCIONES!J12</f>
        <v>SR</v>
      </c>
      <c r="I34" s="66">
        <f>INSCRIPCIONES!K12</f>
        <v>25</v>
      </c>
      <c r="J34" s="66">
        <f>INSCRIPCIONES!L12</f>
        <v>23</v>
      </c>
      <c r="K34" s="66">
        <f>INSCRIPCIONES!M12</f>
        <v>23</v>
      </c>
      <c r="L34" s="66">
        <f>INSCRIPCIONES!N12</f>
        <v>24</v>
      </c>
      <c r="M34" s="84">
        <f>INSCRIPCIONES!O12</f>
        <v>95</v>
      </c>
      <c r="N34" s="66"/>
      <c r="O34" s="84">
        <f>SUM(TCategorias[[#This Row],[TOTAL]:[SHOOT OFF]])</f>
        <v>95</v>
      </c>
    </row>
    <row r="35" spans="2:15" x14ac:dyDescent="0.2">
      <c r="B35" s="77">
        <v>30</v>
      </c>
      <c r="C35" s="60" t="str">
        <f>INSCRIPCIONES!C24</f>
        <v>021</v>
      </c>
      <c r="D35" s="84" t="str">
        <f>INSCRIPCIONES!E24</f>
        <v>Rufino Ruiz Orosa</v>
      </c>
      <c r="E35" s="66" t="str">
        <f>INSCRIPCIONES!G24</f>
        <v>SG</v>
      </c>
      <c r="F35" s="66">
        <f>INSCRIPCIONES!H24</f>
        <v>2</v>
      </c>
      <c r="G35" s="66">
        <f>INSCRIPCIONES!I24</f>
        <v>2</v>
      </c>
      <c r="H35" s="66" t="str">
        <f>INSCRIPCIONES!J24</f>
        <v>VET</v>
      </c>
      <c r="I35" s="66">
        <f>INSCRIPCIONES!K24</f>
        <v>24</v>
      </c>
      <c r="J35" s="66">
        <f>INSCRIPCIONES!L24</f>
        <v>25</v>
      </c>
      <c r="K35" s="66">
        <f>INSCRIPCIONES!M24</f>
        <v>17</v>
      </c>
      <c r="L35" s="66">
        <f>INSCRIPCIONES!N24</f>
        <v>21</v>
      </c>
      <c r="M35" s="84">
        <f>INSCRIPCIONES!O24</f>
        <v>87</v>
      </c>
      <c r="N35" s="66"/>
      <c r="O35" s="84">
        <f>SUM(TCategorias[[#This Row],[TOTAL]:[SHOOT OFF]])</f>
        <v>87</v>
      </c>
    </row>
    <row r="36" spans="2:15" x14ac:dyDescent="0.2">
      <c r="B36" s="77">
        <v>31</v>
      </c>
      <c r="C36" s="60" t="str">
        <f>INSCRIPCIONES!C6</f>
        <v>003</v>
      </c>
      <c r="D36" s="84" t="str">
        <f>INSCRIPCIONES!E6</f>
        <v>Mariano Pardo Gonzalez</v>
      </c>
      <c r="E36" s="66" t="str">
        <f>INSCRIPCIONES!G6</f>
        <v>BU</v>
      </c>
      <c r="F36" s="66">
        <f>INSCRIPCIONES!H6</f>
        <v>1</v>
      </c>
      <c r="G36" s="66">
        <f>INSCRIPCIONES!I6</f>
        <v>1</v>
      </c>
      <c r="H36" s="66" t="str">
        <f>INSCRIPCIONES!J6</f>
        <v>SR</v>
      </c>
      <c r="I36" s="66">
        <f>INSCRIPCIONES!K6</f>
        <v>25</v>
      </c>
      <c r="J36" s="66">
        <f>INSCRIPCIONES!L6</f>
        <v>25</v>
      </c>
      <c r="K36" s="66">
        <f>INSCRIPCIONES!M6</f>
        <v>21</v>
      </c>
      <c r="L36" s="66">
        <f>INSCRIPCIONES!N6</f>
        <v>22</v>
      </c>
      <c r="M36" s="84">
        <f>INSCRIPCIONES!O6</f>
        <v>93</v>
      </c>
      <c r="N36" s="66"/>
      <c r="O36" s="84">
        <f>SUM(TCategorias[[#This Row],[TOTAL]:[SHOOT OFF]])</f>
        <v>93</v>
      </c>
    </row>
    <row r="37" spans="2:15" x14ac:dyDescent="0.2">
      <c r="B37" s="77">
        <v>32</v>
      </c>
      <c r="C37" s="60">
        <f>INSCRIPCIONES!C67</f>
        <v>0</v>
      </c>
      <c r="D37" s="84" t="str">
        <f>INSCRIPCIONES!E67</f>
        <v/>
      </c>
      <c r="E37" s="66" t="str">
        <f>INSCRIPCIONES!G67</f>
        <v/>
      </c>
      <c r="F37" s="66" t="str">
        <f>INSCRIPCIONES!H67</f>
        <v/>
      </c>
      <c r="G37" s="66" t="str">
        <f>INSCRIPCIONES!I67</f>
        <v/>
      </c>
      <c r="H37" s="66" t="str">
        <f>INSCRIPCIONES!J67</f>
        <v/>
      </c>
      <c r="I37" s="66">
        <f>INSCRIPCIONES!K67</f>
        <v>0</v>
      </c>
      <c r="J37" s="66">
        <f>INSCRIPCIONES!L67</f>
        <v>0</v>
      </c>
      <c r="K37" s="66">
        <f>INSCRIPCIONES!M67</f>
        <v>0</v>
      </c>
      <c r="L37" s="66">
        <f>INSCRIPCIONES!N67</f>
        <v>0</v>
      </c>
      <c r="M37" s="84">
        <f>INSCRIPCIONES!O67</f>
        <v>0</v>
      </c>
      <c r="N37" s="66"/>
      <c r="O37" s="84">
        <f>SUM(TCategorias[[#This Row],[TOTAL]:[SHOOT OFF]])</f>
        <v>0</v>
      </c>
    </row>
    <row r="38" spans="2:15" x14ac:dyDescent="0.2">
      <c r="B38" s="77">
        <v>33</v>
      </c>
      <c r="C38" s="60" t="str">
        <f>INSCRIPCIONES!C27</f>
        <v>024</v>
      </c>
      <c r="D38" s="84" t="str">
        <f>INSCRIPCIONES!E27</f>
        <v>Javier de la Camara Izquierdo</v>
      </c>
      <c r="E38" s="66" t="str">
        <f>INSCRIPCIONES!G27</f>
        <v>BU</v>
      </c>
      <c r="F38" s="66">
        <f>INSCRIPCIONES!H27</f>
        <v>3</v>
      </c>
      <c r="G38" s="66">
        <f>INSCRIPCIONES!I27</f>
        <v>3</v>
      </c>
      <c r="H38" s="66" t="str">
        <f>INSCRIPCIONES!J27</f>
        <v>SR</v>
      </c>
      <c r="I38" s="66">
        <f>INSCRIPCIONES!K27</f>
        <v>20</v>
      </c>
      <c r="J38" s="66">
        <f>INSCRIPCIONES!L27</f>
        <v>23</v>
      </c>
      <c r="K38" s="66">
        <f>INSCRIPCIONES!M27</f>
        <v>19</v>
      </c>
      <c r="L38" s="66">
        <f>INSCRIPCIONES!N27</f>
        <v>19</v>
      </c>
      <c r="M38" s="84">
        <f>INSCRIPCIONES!O27</f>
        <v>81</v>
      </c>
      <c r="N38" s="66"/>
      <c r="O38" s="84">
        <f>SUM(TCategorias[[#This Row],[TOTAL]:[SHOOT OFF]])</f>
        <v>81</v>
      </c>
    </row>
    <row r="39" spans="2:15" x14ac:dyDescent="0.2">
      <c r="B39" s="77">
        <v>34</v>
      </c>
      <c r="C39" s="60">
        <f>INSCRIPCIONES!C65</f>
        <v>0</v>
      </c>
      <c r="D39" s="84" t="str">
        <f>INSCRIPCIONES!E65</f>
        <v/>
      </c>
      <c r="E39" s="66" t="str">
        <f>INSCRIPCIONES!G65</f>
        <v/>
      </c>
      <c r="F39" s="66" t="str">
        <f>INSCRIPCIONES!H65</f>
        <v/>
      </c>
      <c r="G39" s="66" t="str">
        <f>INSCRIPCIONES!I65</f>
        <v/>
      </c>
      <c r="H39" s="66" t="str">
        <f>INSCRIPCIONES!J65</f>
        <v/>
      </c>
      <c r="I39" s="66">
        <f>INSCRIPCIONES!K65</f>
        <v>0</v>
      </c>
      <c r="J39" s="66">
        <f>INSCRIPCIONES!L65</f>
        <v>0</v>
      </c>
      <c r="K39" s="66">
        <f>INSCRIPCIONES!M65</f>
        <v>0</v>
      </c>
      <c r="L39" s="66">
        <f>INSCRIPCIONES!N65</f>
        <v>0</v>
      </c>
      <c r="M39" s="84">
        <f>INSCRIPCIONES!O65</f>
        <v>0</v>
      </c>
      <c r="N39" s="66"/>
      <c r="O39" s="84">
        <f>SUM(TCategorias[[#This Row],[TOTAL]:[SHOOT OFF]])</f>
        <v>0</v>
      </c>
    </row>
    <row r="40" spans="2:15" x14ac:dyDescent="0.2">
      <c r="B40" s="77">
        <v>35</v>
      </c>
      <c r="C40" s="60" t="str">
        <f>INSCRIPCIONES!C35</f>
        <v>032</v>
      </c>
      <c r="D40" s="84" t="str">
        <f>INSCRIPCIONES!E35</f>
        <v>Jorge Juan Roman Garcia</v>
      </c>
      <c r="E40" s="66" t="str">
        <f>INSCRIPCIONES!G35</f>
        <v>BU</v>
      </c>
      <c r="F40" s="66">
        <f>INSCRIPCIONES!H35</f>
        <v>4</v>
      </c>
      <c r="G40" s="66">
        <f>INSCRIPCIONES!I35</f>
        <v>4</v>
      </c>
      <c r="H40" s="66" t="str">
        <f>INSCRIPCIONES!J35</f>
        <v>SR</v>
      </c>
      <c r="I40" s="66">
        <f>INSCRIPCIONES!K35</f>
        <v>21</v>
      </c>
      <c r="J40" s="66">
        <f>INSCRIPCIONES!L35</f>
        <v>23</v>
      </c>
      <c r="K40" s="66">
        <f>INSCRIPCIONES!M35</f>
        <v>18</v>
      </c>
      <c r="L40" s="66">
        <f>INSCRIPCIONES!N35</f>
        <v>21</v>
      </c>
      <c r="M40" s="84">
        <f>INSCRIPCIONES!O35</f>
        <v>83</v>
      </c>
      <c r="N40" s="66"/>
      <c r="O40" s="84">
        <f>SUM(TCategorias[[#This Row],[TOTAL]:[SHOOT OFF]])</f>
        <v>83</v>
      </c>
    </row>
    <row r="41" spans="2:15" x14ac:dyDescent="0.2">
      <c r="B41" s="77">
        <v>36</v>
      </c>
      <c r="C41" s="60" t="str">
        <f>INSCRIPCIONES!C20</f>
        <v>017</v>
      </c>
      <c r="D41" s="84" t="str">
        <f>INSCRIPCIONES!E20</f>
        <v>Javier Echevarria</v>
      </c>
      <c r="E41" s="66" t="str">
        <f>INSCRIPCIONES!G20</f>
        <v>BI</v>
      </c>
      <c r="F41" s="66">
        <f>INSCRIPCIONES!H20</f>
        <v>2</v>
      </c>
      <c r="G41" s="66">
        <f>INSCRIPCIONES!I20</f>
        <v>2</v>
      </c>
      <c r="H41" s="66" t="str">
        <f>INSCRIPCIONES!J20</f>
        <v>SR</v>
      </c>
      <c r="I41" s="66">
        <f>INSCRIPCIONES!K20</f>
        <v>23</v>
      </c>
      <c r="J41" s="66">
        <f>INSCRIPCIONES!L20</f>
        <v>22</v>
      </c>
      <c r="K41" s="66">
        <f>INSCRIPCIONES!M20</f>
        <v>24</v>
      </c>
      <c r="L41" s="66">
        <f>INSCRIPCIONES!N20</f>
        <v>22</v>
      </c>
      <c r="M41" s="84">
        <f>INSCRIPCIONES!O20</f>
        <v>91</v>
      </c>
      <c r="N41" s="66"/>
      <c r="O41" s="84">
        <f>SUM(TCategorias[[#This Row],[TOTAL]:[SHOOT OFF]])</f>
        <v>91</v>
      </c>
    </row>
    <row r="42" spans="2:15" x14ac:dyDescent="0.2">
      <c r="B42" s="77">
        <v>37</v>
      </c>
      <c r="C42" s="60" t="str">
        <f>INSCRIPCIONES!C34</f>
        <v>031</v>
      </c>
      <c r="D42" s="84" t="str">
        <f>INSCRIPCIONES!E34</f>
        <v>Fernando Gonzalez Peña</v>
      </c>
      <c r="E42" s="66" t="str">
        <f>INSCRIPCIONES!G34</f>
        <v>BU</v>
      </c>
      <c r="F42" s="66">
        <f>INSCRIPCIONES!H34</f>
        <v>4</v>
      </c>
      <c r="G42" s="66">
        <f>INSCRIPCIONES!I34</f>
        <v>4</v>
      </c>
      <c r="H42" s="66" t="str">
        <f>INSCRIPCIONES!J34</f>
        <v>SR</v>
      </c>
      <c r="I42" s="66">
        <f>INSCRIPCIONES!K34</f>
        <v>20</v>
      </c>
      <c r="J42" s="66">
        <f>INSCRIPCIONES!L34</f>
        <v>18</v>
      </c>
      <c r="K42" s="66">
        <f>INSCRIPCIONES!M34</f>
        <v>17</v>
      </c>
      <c r="L42" s="66">
        <f>INSCRIPCIONES!N34</f>
        <v>19</v>
      </c>
      <c r="M42" s="84">
        <f>INSCRIPCIONES!O34</f>
        <v>74</v>
      </c>
      <c r="N42" s="66"/>
      <c r="O42" s="84">
        <f>SUM(TCategorias[[#This Row],[TOTAL]:[SHOOT OFF]])</f>
        <v>74</v>
      </c>
    </row>
    <row r="43" spans="2:15" x14ac:dyDescent="0.2">
      <c r="B43" s="77">
        <v>38</v>
      </c>
      <c r="C43" s="60" t="str">
        <f>INSCRIPCIONES!C37</f>
        <v>034</v>
      </c>
      <c r="D43" s="84" t="str">
        <f>INSCRIPCIONES!E37</f>
        <v>Joaquin Santaeufemia Alevia -CAÑITA-</v>
      </c>
      <c r="E43" s="66" t="str">
        <f>INSCRIPCIONES!G37</f>
        <v>BU</v>
      </c>
      <c r="F43" s="66">
        <f>INSCRIPCIONES!H37</f>
        <v>4</v>
      </c>
      <c r="G43" s="66">
        <f>INSCRIPCIONES!I37</f>
        <v>4</v>
      </c>
      <c r="H43" s="66" t="str">
        <f>INSCRIPCIONES!J37</f>
        <v>SR</v>
      </c>
      <c r="I43" s="66">
        <f>INSCRIPCIONES!K37</f>
        <v>17</v>
      </c>
      <c r="J43" s="66">
        <f>INSCRIPCIONES!L37</f>
        <v>19</v>
      </c>
      <c r="K43" s="66">
        <f>INSCRIPCIONES!M37</f>
        <v>16</v>
      </c>
      <c r="L43" s="66">
        <f>INSCRIPCIONES!N37</f>
        <v>19</v>
      </c>
      <c r="M43" s="84">
        <f>INSCRIPCIONES!O37</f>
        <v>71</v>
      </c>
      <c r="N43" s="66"/>
      <c r="O43" s="84">
        <f>SUM(TCategorias[[#This Row],[TOTAL]:[SHOOT OFF]])</f>
        <v>71</v>
      </c>
    </row>
    <row r="44" spans="2:15" x14ac:dyDescent="0.2">
      <c r="B44" s="77">
        <v>39</v>
      </c>
      <c r="C44" s="60" t="str">
        <f>INSCRIPCIONES!C4</f>
        <v>001</v>
      </c>
      <c r="D44" s="84" t="str">
        <f>INSCRIPCIONES!E4</f>
        <v>Raul Alonso Saiz</v>
      </c>
      <c r="E44" s="66" t="str">
        <f>INSCRIPCIONES!G4</f>
        <v>BU</v>
      </c>
      <c r="F44" s="66">
        <f>INSCRIPCIONES!H4</f>
        <v>4</v>
      </c>
      <c r="G44" s="66">
        <f>INSCRIPCIONES!I4</f>
        <v>4</v>
      </c>
      <c r="H44" s="66" t="str">
        <f>INSCRIPCIONES!J4</f>
        <v>SR</v>
      </c>
      <c r="I44" s="66">
        <f>INSCRIPCIONES!K4</f>
        <v>19</v>
      </c>
      <c r="J44" s="66">
        <f>INSCRIPCIONES!L4</f>
        <v>23</v>
      </c>
      <c r="K44" s="66">
        <f>INSCRIPCIONES!M4</f>
        <v>21</v>
      </c>
      <c r="L44" s="66" t="e">
        <f>INSCRIPCIONES!#REF!</f>
        <v>#REF!</v>
      </c>
      <c r="M44" s="84">
        <f>INSCRIPCIONES!O4</f>
        <v>83</v>
      </c>
      <c r="N44" s="66"/>
      <c r="O44" s="84">
        <f>SUM(TCategorias[[#This Row],[TOTAL]:[SHOOT OFF]])</f>
        <v>83</v>
      </c>
    </row>
    <row r="45" spans="2:15" x14ac:dyDescent="0.2">
      <c r="B45" s="77">
        <v>40</v>
      </c>
      <c r="C45" s="60" t="str">
        <f>INSCRIPCIONES!C18</f>
        <v>015</v>
      </c>
      <c r="D45" s="84" t="str">
        <f>INSCRIPCIONES!E18</f>
        <v>Enrique Ruiz Ruiz</v>
      </c>
      <c r="E45" s="66" t="str">
        <f>INSCRIPCIONES!G18</f>
        <v>BI</v>
      </c>
      <c r="F45" s="66">
        <f>INSCRIPCIONES!H18</f>
        <v>2</v>
      </c>
      <c r="G45" s="66">
        <f>INSCRIPCIONES!I18</f>
        <v>2</v>
      </c>
      <c r="H45" s="66" t="str">
        <f>INSCRIPCIONES!J18</f>
        <v>SR</v>
      </c>
      <c r="I45" s="66">
        <f>INSCRIPCIONES!K18</f>
        <v>23</v>
      </c>
      <c r="J45" s="66">
        <f>INSCRIPCIONES!L18</f>
        <v>21</v>
      </c>
      <c r="K45" s="66">
        <f>INSCRIPCIONES!M18</f>
        <v>24</v>
      </c>
      <c r="L45" s="66">
        <f>INSCRIPCIONES!N18</f>
        <v>23</v>
      </c>
      <c r="M45" s="84">
        <f>INSCRIPCIONES!O18</f>
        <v>91</v>
      </c>
      <c r="N45" s="66"/>
      <c r="O45" s="84">
        <f>SUM(TCategorias[[#This Row],[TOTAL]:[SHOOT OFF]])</f>
        <v>91</v>
      </c>
    </row>
    <row r="46" spans="2:15" x14ac:dyDescent="0.2">
      <c r="B46" s="77">
        <v>41</v>
      </c>
      <c r="C46" s="60" t="str">
        <f>INSCRIPCIONES!C28</f>
        <v>025</v>
      </c>
      <c r="D46" s="84" t="str">
        <f>INSCRIPCIONES!E28</f>
        <v>Angel Alfonso Asensio</v>
      </c>
      <c r="E46" s="66" t="str">
        <f>INSCRIPCIONES!G28</f>
        <v>VA</v>
      </c>
      <c r="F46" s="66">
        <f>INSCRIPCIONES!H28</f>
        <v>2</v>
      </c>
      <c r="G46" s="66">
        <f>INSCRIPCIONES!I28</f>
        <v>1</v>
      </c>
      <c r="H46" s="66" t="str">
        <f>INSCRIPCIONES!J28</f>
        <v>VET</v>
      </c>
      <c r="I46" s="66">
        <f>INSCRIPCIONES!K28</f>
        <v>23</v>
      </c>
      <c r="J46" s="66">
        <f>INSCRIPCIONES!L28</f>
        <v>23</v>
      </c>
      <c r="K46" s="66">
        <f>INSCRIPCIONES!M28</f>
        <v>19</v>
      </c>
      <c r="L46" s="66">
        <f>INSCRIPCIONES!N28</f>
        <v>24</v>
      </c>
      <c r="M46" s="84">
        <f>INSCRIPCIONES!O28</f>
        <v>89</v>
      </c>
      <c r="N46" s="66"/>
      <c r="O46" s="84">
        <f>SUM(TCategorias[[#This Row],[TOTAL]:[SHOOT OFF]])</f>
        <v>89</v>
      </c>
    </row>
    <row r="47" spans="2:15" x14ac:dyDescent="0.2">
      <c r="B47" s="77">
        <v>42</v>
      </c>
      <c r="C47" s="60" t="str">
        <f>INSCRIPCIONES!C43</f>
        <v>040</v>
      </c>
      <c r="D47" s="84" t="str">
        <f>INSCRIPCIONES!E43</f>
        <v>Guillermo Velasco Gonzalez</v>
      </c>
      <c r="E47" s="66" t="str">
        <f>INSCRIPCIONES!G43</f>
        <v>BU</v>
      </c>
      <c r="F47" s="66">
        <f>INSCRIPCIONES!H43</f>
        <v>4</v>
      </c>
      <c r="G47" s="66">
        <f>INSCRIPCIONES!I43</f>
        <v>4</v>
      </c>
      <c r="H47" s="66" t="str">
        <f>INSCRIPCIONES!J43</f>
        <v>SR</v>
      </c>
      <c r="I47" s="66">
        <f>INSCRIPCIONES!K43</f>
        <v>19</v>
      </c>
      <c r="J47" s="66">
        <f>INSCRIPCIONES!L43</f>
        <v>22</v>
      </c>
      <c r="K47" s="66">
        <f>INSCRIPCIONES!M43</f>
        <v>23</v>
      </c>
      <c r="L47" s="66">
        <f>INSCRIPCIONES!N43</f>
        <v>24</v>
      </c>
      <c r="M47" s="84">
        <f>INSCRIPCIONES!O43</f>
        <v>88</v>
      </c>
      <c r="N47" s="66"/>
      <c r="O47" s="84">
        <f>SUM(TCategorias[[#This Row],[TOTAL]:[SHOOT OFF]])</f>
        <v>88</v>
      </c>
    </row>
    <row r="48" spans="2:15" x14ac:dyDescent="0.2">
      <c r="B48" s="77">
        <v>43</v>
      </c>
      <c r="C48" s="60" t="str">
        <f>INSCRIPCIONES!C8</f>
        <v>005</v>
      </c>
      <c r="D48" s="84" t="str">
        <f>INSCRIPCIONES!E8</f>
        <v>Antonio Saiz Antolin "FARRU"</v>
      </c>
      <c r="E48" s="66" t="str">
        <f>INSCRIPCIONES!G8</f>
        <v>BU</v>
      </c>
      <c r="F48" s="66">
        <f>INSCRIPCIONES!H8</f>
        <v>4</v>
      </c>
      <c r="G48" s="66">
        <f>INSCRIPCIONES!I8</f>
        <v>4</v>
      </c>
      <c r="H48" s="66" t="str">
        <f>INSCRIPCIONES!J8</f>
        <v>SR</v>
      </c>
      <c r="I48" s="66">
        <f>INSCRIPCIONES!K8</f>
        <v>17</v>
      </c>
      <c r="J48" s="66">
        <f>INSCRIPCIONES!L8</f>
        <v>21</v>
      </c>
      <c r="K48" s="66">
        <f>INSCRIPCIONES!M8</f>
        <v>22</v>
      </c>
      <c r="L48" s="66">
        <f>INSCRIPCIONES!N8</f>
        <v>18</v>
      </c>
      <c r="M48" s="84">
        <f>INSCRIPCIONES!O8</f>
        <v>78</v>
      </c>
      <c r="N48" s="66"/>
      <c r="O48" s="84">
        <f>SUM(TCategorias[[#This Row],[TOTAL]:[SHOOT OFF]])</f>
        <v>78</v>
      </c>
    </row>
    <row r="49" spans="2:15" x14ac:dyDescent="0.2">
      <c r="B49" s="77">
        <v>44</v>
      </c>
      <c r="C49" s="60" t="str">
        <f>INSCRIPCIONES!C5</f>
        <v>002</v>
      </c>
      <c r="D49" s="84" t="str">
        <f>INSCRIPCIONES!E5</f>
        <v>Roberto Garcia Arnaiz</v>
      </c>
      <c r="E49" s="66" t="str">
        <f>INSCRIPCIONES!G5</f>
        <v>BU</v>
      </c>
      <c r="F49" s="66">
        <f>INSCRIPCIONES!H5</f>
        <v>3</v>
      </c>
      <c r="G49" s="66">
        <f>INSCRIPCIONES!I5</f>
        <v>3</v>
      </c>
      <c r="H49" s="66" t="str">
        <f>INSCRIPCIONES!J5</f>
        <v>SR</v>
      </c>
      <c r="I49" s="66">
        <f>INSCRIPCIONES!K5</f>
        <v>21</v>
      </c>
      <c r="J49" s="66">
        <f>INSCRIPCIONES!L5</f>
        <v>20</v>
      </c>
      <c r="K49" s="66">
        <f>INSCRIPCIONES!M5</f>
        <v>23</v>
      </c>
      <c r="L49" s="66">
        <f>INSCRIPCIONES!N5</f>
        <v>19</v>
      </c>
      <c r="M49" s="84">
        <f>INSCRIPCIONES!O5</f>
        <v>83</v>
      </c>
      <c r="N49" s="66"/>
      <c r="O49" s="84">
        <f>SUM(TCategorias[[#This Row],[TOTAL]:[SHOOT OFF]])</f>
        <v>83</v>
      </c>
    </row>
    <row r="50" spans="2:15" x14ac:dyDescent="0.2">
      <c r="B50" s="77">
        <v>45</v>
      </c>
      <c r="C50" s="60" t="str">
        <f>INSCRIPCIONES!C26</f>
        <v>023</v>
      </c>
      <c r="D50" s="84" t="str">
        <f>INSCRIPCIONES!E26</f>
        <v>Nicolas Velasco Perez</v>
      </c>
      <c r="E50" s="66" t="str">
        <f>INSCRIPCIONES!G26</f>
        <v>BU</v>
      </c>
      <c r="F50" s="66">
        <f>INSCRIPCIONES!H26</f>
        <v>4</v>
      </c>
      <c r="G50" s="66">
        <f>INSCRIPCIONES!I26</f>
        <v>4</v>
      </c>
      <c r="H50" s="66" t="str">
        <f>INSCRIPCIONES!J26</f>
        <v>SR</v>
      </c>
      <c r="I50" s="66">
        <f>INSCRIPCIONES!K26</f>
        <v>23</v>
      </c>
      <c r="J50" s="66">
        <f>INSCRIPCIONES!L26</f>
        <v>23</v>
      </c>
      <c r="K50" s="66">
        <f>INSCRIPCIONES!M26</f>
        <v>24</v>
      </c>
      <c r="L50" s="66">
        <f>INSCRIPCIONES!N26</f>
        <v>24</v>
      </c>
      <c r="M50" s="84">
        <f>INSCRIPCIONES!O26</f>
        <v>94</v>
      </c>
      <c r="N50" s="66"/>
      <c r="O50" s="84">
        <f>SUM(TCategorias[[#This Row],[TOTAL]:[SHOOT OFF]])</f>
        <v>94</v>
      </c>
    </row>
    <row r="51" spans="2:15" x14ac:dyDescent="0.2">
      <c r="B51" s="77">
        <v>46</v>
      </c>
      <c r="C51" s="60" t="str">
        <f>INSCRIPCIONES!C7</f>
        <v>004</v>
      </c>
      <c r="D51" s="84" t="str">
        <f>INSCRIPCIONES!E7</f>
        <v>Ramon Martinez Lopez</v>
      </c>
      <c r="E51" s="66" t="str">
        <f>INSCRIPCIONES!G7</f>
        <v>BU</v>
      </c>
      <c r="F51" s="66">
        <f>INSCRIPCIONES!H7</f>
        <v>4</v>
      </c>
      <c r="G51" s="66">
        <f>INSCRIPCIONES!I7</f>
        <v>4</v>
      </c>
      <c r="H51" s="66" t="str">
        <f>INSCRIPCIONES!J7</f>
        <v>VET</v>
      </c>
      <c r="I51" s="66">
        <f>INSCRIPCIONES!K7</f>
        <v>19</v>
      </c>
      <c r="J51" s="66">
        <f>INSCRIPCIONES!L7</f>
        <v>21</v>
      </c>
      <c r="K51" s="66">
        <f>INSCRIPCIONES!M7</f>
        <v>18</v>
      </c>
      <c r="L51" s="66">
        <f>INSCRIPCIONES!N7</f>
        <v>19</v>
      </c>
      <c r="M51" s="84">
        <f>INSCRIPCIONES!O7</f>
        <v>77</v>
      </c>
      <c r="N51" s="66">
        <f>INSCRIPCIONES!P49</f>
        <v>0</v>
      </c>
      <c r="O51" s="84">
        <f>SUM(TCategorias[[#This Row],[TOTAL]:[SHOOT OFF]])</f>
        <v>77</v>
      </c>
    </row>
    <row r="52" spans="2:15" x14ac:dyDescent="0.2">
      <c r="B52" s="77">
        <v>47</v>
      </c>
      <c r="C52" s="60" t="str">
        <f>INSCRIPCIONES!C44</f>
        <v>041</v>
      </c>
      <c r="D52" s="84" t="str">
        <f>INSCRIPCIONES!E44</f>
        <v>Ivan Gonzalez Palacin</v>
      </c>
      <c r="E52" s="66" t="str">
        <f>INSCRIPCIONES!G44</f>
        <v>BU</v>
      </c>
      <c r="F52" s="66">
        <f>INSCRIPCIONES!H44</f>
        <v>4</v>
      </c>
      <c r="G52" s="66">
        <f>INSCRIPCIONES!I44</f>
        <v>4</v>
      </c>
      <c r="H52" s="66" t="str">
        <f>INSCRIPCIONES!J44</f>
        <v>SR</v>
      </c>
      <c r="I52" s="66">
        <f>INSCRIPCIONES!K44</f>
        <v>19</v>
      </c>
      <c r="J52" s="66">
        <f>INSCRIPCIONES!L44</f>
        <v>18</v>
      </c>
      <c r="K52" s="66">
        <f>INSCRIPCIONES!M44</f>
        <v>17</v>
      </c>
      <c r="L52" s="66">
        <f>INSCRIPCIONES!N44</f>
        <v>21</v>
      </c>
      <c r="M52" s="84">
        <f>INSCRIPCIONES!O44</f>
        <v>75</v>
      </c>
      <c r="N52" s="66">
        <f>INSCRIPCIONES!P50</f>
        <v>0</v>
      </c>
      <c r="O52" s="84">
        <f>SUM(TCategorias[[#This Row],[TOTAL]:[SHOOT OFF]])</f>
        <v>75</v>
      </c>
    </row>
    <row r="53" spans="2:15" x14ac:dyDescent="0.2">
      <c r="B53" s="77">
        <v>48</v>
      </c>
      <c r="C53" s="60" t="str">
        <f>INSCRIPCIONES!C23</f>
        <v>020</v>
      </c>
      <c r="D53" s="84" t="str">
        <f>INSCRIPCIONES!E23</f>
        <v>Teodoro Sanz de Sebastian</v>
      </c>
      <c r="E53" s="66" t="str">
        <f>INSCRIPCIONES!G23</f>
        <v>BU</v>
      </c>
      <c r="F53" s="66">
        <f>INSCRIPCIONES!H23</f>
        <v>4</v>
      </c>
      <c r="G53" s="66">
        <f>INSCRIPCIONES!I23</f>
        <v>4</v>
      </c>
      <c r="H53" s="66" t="str">
        <f>INSCRIPCIONES!J23</f>
        <v>SR</v>
      </c>
      <c r="I53" s="66">
        <f>INSCRIPCIONES!K23</f>
        <v>20</v>
      </c>
      <c r="J53" s="66">
        <f>INSCRIPCIONES!L23</f>
        <v>22</v>
      </c>
      <c r="K53" s="66">
        <f>INSCRIPCIONES!M23</f>
        <v>22</v>
      </c>
      <c r="L53" s="66">
        <f>INSCRIPCIONES!N23</f>
        <v>21</v>
      </c>
      <c r="M53" s="84">
        <f>INSCRIPCIONES!O23</f>
        <v>85</v>
      </c>
      <c r="N53" s="66">
        <f>INSCRIPCIONES!P51</f>
        <v>0</v>
      </c>
      <c r="O53" s="84">
        <f>SUM(TCategorias[[#This Row],[TOTAL]:[SHOOT OFF]])</f>
        <v>85</v>
      </c>
    </row>
    <row r="54" spans="2:15" x14ac:dyDescent="0.2">
      <c r="B54" s="77">
        <v>49</v>
      </c>
      <c r="C54" s="60" t="str">
        <f>INSCRIPCIONES!C29</f>
        <v>026</v>
      </c>
      <c r="D54" s="84" t="str">
        <f>INSCRIPCIONES!E29</f>
        <v>Carlos Mari Perez Martin</v>
      </c>
      <c r="E54" s="66" t="str">
        <f>INSCRIPCIONES!G29</f>
        <v>P</v>
      </c>
      <c r="F54" s="66">
        <f>INSCRIPCIONES!H29</f>
        <v>2</v>
      </c>
      <c r="G54" s="66">
        <f>INSCRIPCIONES!I29</f>
        <v>2</v>
      </c>
      <c r="H54" s="66" t="str">
        <f>INSCRIPCIONES!J29</f>
        <v>VET</v>
      </c>
      <c r="I54" s="66">
        <f>INSCRIPCIONES!K29</f>
        <v>20</v>
      </c>
      <c r="J54" s="66">
        <f>INSCRIPCIONES!L29</f>
        <v>22</v>
      </c>
      <c r="K54" s="66">
        <f>INSCRIPCIONES!M29</f>
        <v>21</v>
      </c>
      <c r="L54" s="66">
        <f>INSCRIPCIONES!N29</f>
        <v>23</v>
      </c>
      <c r="M54" s="84">
        <f>INSCRIPCIONES!O29</f>
        <v>86</v>
      </c>
      <c r="N54" s="66">
        <f>INSCRIPCIONES!P52</f>
        <v>0</v>
      </c>
      <c r="O54" s="84">
        <f>SUM(TCategorias[[#This Row],[TOTAL]:[SHOOT OFF]])</f>
        <v>86</v>
      </c>
    </row>
    <row r="55" spans="2:15" x14ac:dyDescent="0.2">
      <c r="B55" s="77">
        <v>50</v>
      </c>
      <c r="C55" s="60">
        <f>INSCRIPCIONES!C66</f>
        <v>0</v>
      </c>
      <c r="D55" s="84" t="str">
        <f>INSCRIPCIONES!E66</f>
        <v/>
      </c>
      <c r="E55" s="66" t="str">
        <f>INSCRIPCIONES!G66</f>
        <v/>
      </c>
      <c r="F55" s="66" t="str">
        <f>INSCRIPCIONES!H66</f>
        <v/>
      </c>
      <c r="G55" s="66" t="str">
        <f>INSCRIPCIONES!I66</f>
        <v/>
      </c>
      <c r="H55" s="66" t="str">
        <f>INSCRIPCIONES!J66</f>
        <v/>
      </c>
      <c r="I55" s="66">
        <f>INSCRIPCIONES!K66</f>
        <v>0</v>
      </c>
      <c r="J55" s="66">
        <f>INSCRIPCIONES!L66</f>
        <v>0</v>
      </c>
      <c r="K55" s="66">
        <f>INSCRIPCIONES!M66</f>
        <v>0</v>
      </c>
      <c r="L55" s="66">
        <f>INSCRIPCIONES!N66</f>
        <v>0</v>
      </c>
      <c r="M55" s="84">
        <f>INSCRIPCIONES!O66</f>
        <v>0</v>
      </c>
      <c r="N55" s="66">
        <f>INSCRIPCIONES!P53</f>
        <v>0</v>
      </c>
      <c r="O55" s="84">
        <f>SUM(TCategorias[[#This Row],[TOTAL]:[SHOOT OFF]])</f>
        <v>0</v>
      </c>
    </row>
    <row r="56" spans="2:15" x14ac:dyDescent="0.2">
      <c r="B56" s="77">
        <v>51</v>
      </c>
      <c r="C56" s="60" t="str">
        <f>INSCRIPCIONES!C33</f>
        <v>030</v>
      </c>
      <c r="D56" s="84" t="str">
        <f>INSCRIPCIONES!E33</f>
        <v>Fernando Arribas</v>
      </c>
      <c r="E56" s="66" t="str">
        <f>INSCRIPCIONES!G33</f>
        <v>SO</v>
      </c>
      <c r="F56" s="66">
        <f>INSCRIPCIONES!H33</f>
        <v>2</v>
      </c>
      <c r="G56" s="66">
        <f>INSCRIPCIONES!I33</f>
        <v>2</v>
      </c>
      <c r="H56" s="66" t="str">
        <f>INSCRIPCIONES!J33</f>
        <v>SR</v>
      </c>
      <c r="I56" s="66">
        <f>INSCRIPCIONES!K33</f>
        <v>23</v>
      </c>
      <c r="J56" s="66">
        <f>INSCRIPCIONES!L33</f>
        <v>23</v>
      </c>
      <c r="K56" s="66">
        <f>INSCRIPCIONES!M33</f>
        <v>23</v>
      </c>
      <c r="L56" s="66">
        <f>INSCRIPCIONES!N33</f>
        <v>22</v>
      </c>
      <c r="M56" s="84">
        <f>INSCRIPCIONES!O33</f>
        <v>91</v>
      </c>
      <c r="N56" s="66">
        <f>INSCRIPCIONES!P54</f>
        <v>0</v>
      </c>
      <c r="O56" s="84">
        <f>SUM(TCategorias[[#This Row],[TOTAL]:[SHOOT OFF]])</f>
        <v>91</v>
      </c>
    </row>
    <row r="57" spans="2:15" x14ac:dyDescent="0.2">
      <c r="B57" s="77">
        <v>52</v>
      </c>
      <c r="C57" s="60">
        <f>INSCRIPCIONES!C70</f>
        <v>0</v>
      </c>
      <c r="D57" s="84" t="str">
        <f>INSCRIPCIONES!E70</f>
        <v/>
      </c>
      <c r="E57" s="66" t="str">
        <f>INSCRIPCIONES!G70</f>
        <v/>
      </c>
      <c r="F57" s="66" t="str">
        <f>INSCRIPCIONES!H70</f>
        <v/>
      </c>
      <c r="G57" s="66" t="str">
        <f>INSCRIPCIONES!I70</f>
        <v/>
      </c>
      <c r="H57" s="66" t="str">
        <f>INSCRIPCIONES!J70</f>
        <v/>
      </c>
      <c r="I57" s="66">
        <f>INSCRIPCIONES!K70</f>
        <v>0</v>
      </c>
      <c r="J57" s="66">
        <f>INSCRIPCIONES!L70</f>
        <v>0</v>
      </c>
      <c r="K57" s="66">
        <f>INSCRIPCIONES!M70</f>
        <v>0</v>
      </c>
      <c r="L57" s="66">
        <f>INSCRIPCIONES!N70</f>
        <v>0</v>
      </c>
      <c r="M57" s="84">
        <f>INSCRIPCIONES!O70</f>
        <v>0</v>
      </c>
      <c r="N57" s="66">
        <f>INSCRIPCIONES!P70</f>
        <v>0</v>
      </c>
      <c r="O57" s="84" t="e">
        <f>SUM(TCategorias[[#This Row],[TOTAL]:[SHOOT OFF]])</f>
        <v>#VALUE!</v>
      </c>
    </row>
    <row r="58" spans="2:15" x14ac:dyDescent="0.2">
      <c r="B58" s="78"/>
      <c r="C58" s="60" t="str">
        <f>INSCRIPCIONES!C56</f>
        <v>053</v>
      </c>
      <c r="D58" s="84" t="str">
        <f>INSCRIPCIONES!E56</f>
        <v/>
      </c>
      <c r="E58" s="66" t="str">
        <f>INSCRIPCIONES!G56</f>
        <v/>
      </c>
      <c r="F58" s="66" t="str">
        <f>INSCRIPCIONES!H56</f>
        <v/>
      </c>
      <c r="G58" s="66" t="str">
        <f>INSCRIPCIONES!I56</f>
        <v/>
      </c>
      <c r="H58" s="66" t="str">
        <f>INSCRIPCIONES!J56</f>
        <v/>
      </c>
      <c r="I58" s="66">
        <f>INSCRIPCIONES!K56</f>
        <v>0</v>
      </c>
      <c r="J58" s="66">
        <f>INSCRIPCIONES!L56</f>
        <v>0</v>
      </c>
      <c r="K58" s="66">
        <f>INSCRIPCIONES!M56</f>
        <v>0</v>
      </c>
      <c r="L58" s="66" t="e">
        <f>INSCRIPCIONES!#REF!</f>
        <v>#REF!</v>
      </c>
      <c r="M58" s="84">
        <f>INSCRIPCIONES!O56</f>
        <v>0</v>
      </c>
      <c r="N58" s="66">
        <f>INSCRIPCIONES!P56</f>
        <v>0</v>
      </c>
      <c r="O58" s="84" t="e">
        <f>SUM(TCategorias[[#This Row],[TOTAL]:[SHOOT OFF]])</f>
        <v>#VALUE!</v>
      </c>
    </row>
    <row r="59" spans="2:15" x14ac:dyDescent="0.2">
      <c r="B59" s="78"/>
      <c r="C59" s="60" t="str">
        <f>INSCRIPCIONES!C57</f>
        <v>054</v>
      </c>
      <c r="D59" s="84" t="str">
        <f>INSCRIPCIONES!E57</f>
        <v/>
      </c>
      <c r="E59" s="66" t="str">
        <f>INSCRIPCIONES!G57</f>
        <v/>
      </c>
      <c r="F59" s="66" t="str">
        <f>INSCRIPCIONES!H57</f>
        <v/>
      </c>
      <c r="G59" s="66" t="str">
        <f>INSCRIPCIONES!I57</f>
        <v/>
      </c>
      <c r="H59" s="66" t="str">
        <f>INSCRIPCIONES!J57</f>
        <v/>
      </c>
      <c r="I59" s="66">
        <f>INSCRIPCIONES!K57</f>
        <v>0</v>
      </c>
      <c r="J59" s="66">
        <f>INSCRIPCIONES!L57</f>
        <v>0</v>
      </c>
      <c r="K59" s="66">
        <f>INSCRIPCIONES!M57</f>
        <v>0</v>
      </c>
      <c r="L59" s="66" t="e">
        <f>INSCRIPCIONES!#REF!</f>
        <v>#REF!</v>
      </c>
      <c r="M59" s="84">
        <f>INSCRIPCIONES!O57</f>
        <v>0</v>
      </c>
      <c r="N59" s="66">
        <f>INSCRIPCIONES!P57</f>
        <v>0</v>
      </c>
      <c r="O59" s="84" t="e">
        <f>SUM(TCategorias[[#This Row],[TOTAL]:[SHOOT OFF]])</f>
        <v>#VALUE!</v>
      </c>
    </row>
    <row r="60" spans="2:15" x14ac:dyDescent="0.2">
      <c r="B60" s="78"/>
      <c r="C60" s="60" t="str">
        <f>INSCRIPCIONES!C58</f>
        <v>055</v>
      </c>
      <c r="D60" s="84" t="str">
        <f>INSCRIPCIONES!E58</f>
        <v/>
      </c>
      <c r="E60" s="66" t="str">
        <f>INSCRIPCIONES!G58</f>
        <v/>
      </c>
      <c r="F60" s="66" t="str">
        <f>INSCRIPCIONES!H58</f>
        <v/>
      </c>
      <c r="G60" s="66" t="str">
        <f>INSCRIPCIONES!I58</f>
        <v/>
      </c>
      <c r="H60" s="66" t="str">
        <f>INSCRIPCIONES!J58</f>
        <v/>
      </c>
      <c r="I60" s="66">
        <f>INSCRIPCIONES!K58</f>
        <v>0</v>
      </c>
      <c r="J60" s="66">
        <f>INSCRIPCIONES!L58</f>
        <v>0</v>
      </c>
      <c r="K60" s="66">
        <f>INSCRIPCIONES!M58</f>
        <v>0</v>
      </c>
      <c r="L60" s="66" t="e">
        <f>INSCRIPCIONES!#REF!</f>
        <v>#REF!</v>
      </c>
      <c r="M60" s="84">
        <f>INSCRIPCIONES!O58</f>
        <v>0</v>
      </c>
      <c r="N60" s="66">
        <f>INSCRIPCIONES!P58</f>
        <v>0</v>
      </c>
      <c r="O60" s="84" t="e">
        <f>SUM(TCategorias[[#This Row],[TOTAL]:[SHOOT OFF]])</f>
        <v>#VALUE!</v>
      </c>
    </row>
    <row r="61" spans="2:15" x14ac:dyDescent="0.2">
      <c r="B61" s="78"/>
      <c r="C61" s="60" t="str">
        <f>INSCRIPCIONES!C59</f>
        <v>056</v>
      </c>
      <c r="D61" s="84" t="str">
        <f>INSCRIPCIONES!E59</f>
        <v/>
      </c>
      <c r="E61" s="66" t="str">
        <f>INSCRIPCIONES!G59</f>
        <v/>
      </c>
      <c r="F61" s="66" t="str">
        <f>INSCRIPCIONES!H59</f>
        <v/>
      </c>
      <c r="G61" s="66" t="str">
        <f>INSCRIPCIONES!I59</f>
        <v/>
      </c>
      <c r="H61" s="66" t="str">
        <f>INSCRIPCIONES!J59</f>
        <v/>
      </c>
      <c r="I61" s="66">
        <f>INSCRIPCIONES!K59</f>
        <v>0</v>
      </c>
      <c r="J61" s="66">
        <f>INSCRIPCIONES!L59</f>
        <v>0</v>
      </c>
      <c r="K61" s="66">
        <f>INSCRIPCIONES!M59</f>
        <v>0</v>
      </c>
      <c r="L61" s="66" t="e">
        <f>INSCRIPCIONES!#REF!</f>
        <v>#REF!</v>
      </c>
      <c r="M61" s="84">
        <f>INSCRIPCIONES!O59</f>
        <v>0</v>
      </c>
      <c r="N61" s="66">
        <f>INSCRIPCIONES!P59</f>
        <v>0</v>
      </c>
      <c r="O61" s="84" t="e">
        <f>SUM(TCategorias[[#This Row],[TOTAL]:[SHOOT OFF]])</f>
        <v>#VALUE!</v>
      </c>
    </row>
    <row r="62" spans="2:15" x14ac:dyDescent="0.2">
      <c r="B62" s="78"/>
      <c r="C62" s="60" t="str">
        <f>INSCRIPCIONES!C60</f>
        <v>057</v>
      </c>
      <c r="D62" s="84" t="str">
        <f>INSCRIPCIONES!E60</f>
        <v/>
      </c>
      <c r="E62" s="66" t="str">
        <f>INSCRIPCIONES!G60</f>
        <v/>
      </c>
      <c r="F62" s="66" t="str">
        <f>INSCRIPCIONES!H60</f>
        <v/>
      </c>
      <c r="G62" s="66" t="str">
        <f>INSCRIPCIONES!I60</f>
        <v/>
      </c>
      <c r="H62" s="66" t="str">
        <f>INSCRIPCIONES!J60</f>
        <v/>
      </c>
      <c r="I62" s="66">
        <f>INSCRIPCIONES!K60</f>
        <v>0</v>
      </c>
      <c r="J62" s="66">
        <f>INSCRIPCIONES!L60</f>
        <v>0</v>
      </c>
      <c r="K62" s="66">
        <f>INSCRIPCIONES!M60</f>
        <v>0</v>
      </c>
      <c r="L62" s="66" t="e">
        <f>INSCRIPCIONES!#REF!</f>
        <v>#REF!</v>
      </c>
      <c r="M62" s="84">
        <f>INSCRIPCIONES!O60</f>
        <v>0</v>
      </c>
      <c r="N62" s="66">
        <f>INSCRIPCIONES!P60</f>
        <v>0</v>
      </c>
      <c r="O62" s="84" t="e">
        <f>SUM(TCategorias[[#This Row],[TOTAL]:[SHOOT OFF]])</f>
        <v>#VALUE!</v>
      </c>
    </row>
    <row r="63" spans="2:15" x14ac:dyDescent="0.2">
      <c r="B63" s="78"/>
      <c r="C63" s="60"/>
      <c r="D63" s="84"/>
      <c r="E63" s="66"/>
      <c r="F63" s="66"/>
      <c r="G63" s="66"/>
      <c r="H63" s="66"/>
      <c r="I63" s="66"/>
      <c r="J63" s="66"/>
      <c r="K63" s="66"/>
      <c r="L63" s="66"/>
      <c r="M63" s="84"/>
      <c r="N63" s="66"/>
      <c r="O63" s="84"/>
    </row>
    <row r="64" spans="2:15" x14ac:dyDescent="0.2">
      <c r="B64" s="78"/>
      <c r="C64" s="60"/>
      <c r="D64" s="84"/>
      <c r="E64" s="66"/>
      <c r="F64" s="66"/>
      <c r="G64" s="66"/>
      <c r="H64" s="66"/>
      <c r="I64" s="66"/>
      <c r="J64" s="66"/>
      <c r="K64" s="66"/>
      <c r="L64" s="66"/>
      <c r="M64" s="84"/>
      <c r="N64" s="66"/>
      <c r="O64" s="84"/>
    </row>
    <row r="65" spans="2:15" x14ac:dyDescent="0.2">
      <c r="B65" s="78"/>
      <c r="C65" s="60"/>
      <c r="D65" s="84"/>
      <c r="E65" s="66"/>
      <c r="F65" s="66"/>
      <c r="G65" s="66"/>
      <c r="H65" s="66"/>
      <c r="I65" s="66"/>
      <c r="J65" s="66"/>
      <c r="K65" s="66"/>
      <c r="L65" s="66"/>
      <c r="M65" s="84"/>
      <c r="N65" s="66"/>
      <c r="O65" s="84"/>
    </row>
    <row r="66" spans="2:15" x14ac:dyDescent="0.2">
      <c r="B66" s="78"/>
      <c r="C66" s="60"/>
      <c r="D66" s="84"/>
      <c r="E66" s="66"/>
      <c r="F66" s="66"/>
      <c r="G66" s="66"/>
      <c r="H66" s="66"/>
      <c r="I66" s="66"/>
      <c r="J66" s="66"/>
      <c r="K66" s="66"/>
      <c r="L66" s="66"/>
      <c r="M66" s="84"/>
      <c r="N66" s="66"/>
      <c r="O66" s="84"/>
    </row>
    <row r="67" spans="2:15" x14ac:dyDescent="0.2">
      <c r="B67" s="78"/>
      <c r="C67" s="60"/>
      <c r="D67" s="84"/>
      <c r="E67" s="66"/>
      <c r="F67" s="66"/>
      <c r="G67" s="66"/>
      <c r="H67" s="66"/>
      <c r="I67" s="66"/>
      <c r="J67" s="66"/>
      <c r="K67" s="66"/>
      <c r="L67" s="66"/>
      <c r="M67" s="84"/>
      <c r="N67" s="66"/>
      <c r="O67" s="84"/>
    </row>
    <row r="68" spans="2:15" x14ac:dyDescent="0.2">
      <c r="B68" s="78"/>
      <c r="C68" s="60"/>
      <c r="D68" s="84"/>
      <c r="E68" s="66"/>
      <c r="F68" s="66"/>
      <c r="G68" s="66"/>
      <c r="H68" s="66"/>
      <c r="I68" s="66"/>
      <c r="J68" s="66"/>
      <c r="K68" s="66"/>
      <c r="L68" s="66"/>
      <c r="M68" s="84"/>
      <c r="N68" s="66"/>
      <c r="O68" s="84"/>
    </row>
    <row r="69" spans="2:15" x14ac:dyDescent="0.2">
      <c r="B69" s="78"/>
      <c r="C69" s="60"/>
      <c r="D69" s="84"/>
      <c r="E69" s="66"/>
      <c r="F69" s="66"/>
      <c r="G69" s="66"/>
      <c r="H69" s="66"/>
      <c r="I69" s="66"/>
      <c r="J69" s="66"/>
      <c r="K69" s="66"/>
      <c r="L69" s="66"/>
      <c r="M69" s="84"/>
      <c r="N69" s="66"/>
      <c r="O69" s="84"/>
    </row>
    <row r="70" spans="2:15" x14ac:dyDescent="0.2">
      <c r="B70" s="78"/>
      <c r="C70" s="60"/>
      <c r="D70" s="84"/>
      <c r="E70" s="66"/>
      <c r="F70" s="66"/>
      <c r="G70" s="66"/>
      <c r="H70" s="66"/>
      <c r="I70" s="66"/>
      <c r="J70" s="66"/>
      <c r="K70" s="66"/>
      <c r="L70" s="66"/>
      <c r="M70" s="84"/>
      <c r="N70" s="66"/>
      <c r="O70" s="84"/>
    </row>
    <row r="71" spans="2:15" x14ac:dyDescent="0.2">
      <c r="B71" s="78"/>
      <c r="C71" s="60"/>
      <c r="D71" s="84"/>
      <c r="E71" s="66"/>
      <c r="F71" s="66"/>
      <c r="G71" s="66"/>
      <c r="H71" s="66"/>
      <c r="I71" s="66"/>
      <c r="J71" s="66"/>
      <c r="K71" s="66"/>
      <c r="L71" s="66"/>
      <c r="M71" s="84"/>
      <c r="N71" s="66"/>
      <c r="O71" s="84"/>
    </row>
    <row r="72" spans="2:15" x14ac:dyDescent="0.2">
      <c r="B72" s="78"/>
      <c r="C72" s="60"/>
      <c r="D72" s="84"/>
      <c r="E72" s="66"/>
      <c r="F72" s="66"/>
      <c r="G72" s="66"/>
      <c r="H72" s="66"/>
      <c r="I72" s="66"/>
      <c r="J72" s="66"/>
      <c r="K72" s="66"/>
      <c r="L72" s="66"/>
      <c r="M72" s="84"/>
      <c r="N72" s="66"/>
      <c r="O72" s="84"/>
    </row>
    <row r="73" spans="2:15" x14ac:dyDescent="0.2">
      <c r="B73" s="78"/>
      <c r="C73" s="60"/>
      <c r="D73" s="84"/>
      <c r="E73" s="66"/>
      <c r="F73" s="66"/>
      <c r="G73" s="66"/>
      <c r="H73" s="66"/>
      <c r="I73" s="66"/>
      <c r="J73" s="66"/>
      <c r="K73" s="66"/>
      <c r="L73" s="66"/>
      <c r="M73" s="84"/>
      <c r="N73" s="66"/>
      <c r="O73" s="84"/>
    </row>
    <row r="74" spans="2:15" x14ac:dyDescent="0.2">
      <c r="B74" s="78"/>
      <c r="C74" s="60"/>
      <c r="D74" s="84"/>
      <c r="E74" s="66"/>
      <c r="F74" s="66"/>
      <c r="G74" s="66"/>
      <c r="H74" s="66"/>
      <c r="I74" s="66"/>
      <c r="J74" s="66"/>
      <c r="K74" s="66"/>
      <c r="L74" s="66"/>
      <c r="M74" s="84"/>
      <c r="N74" s="66"/>
      <c r="O74" s="84"/>
    </row>
    <row r="75" spans="2:15" x14ac:dyDescent="0.2">
      <c r="B75" s="78"/>
      <c r="C75" s="60"/>
      <c r="D75" s="84"/>
      <c r="E75" s="66"/>
      <c r="F75" s="66"/>
      <c r="G75" s="66"/>
      <c r="H75" s="66"/>
      <c r="I75" s="66"/>
      <c r="J75" s="66"/>
      <c r="K75" s="66"/>
      <c r="L75" s="66"/>
      <c r="M75" s="84"/>
      <c r="N75" s="66"/>
      <c r="O75" s="84"/>
    </row>
    <row r="76" spans="2:15" x14ac:dyDescent="0.2">
      <c r="B76" s="78"/>
      <c r="C76" s="60"/>
      <c r="D76" s="84"/>
      <c r="E76" s="66"/>
      <c r="F76" s="66"/>
      <c r="G76" s="66"/>
      <c r="H76" s="66"/>
      <c r="I76" s="66"/>
      <c r="J76" s="66"/>
      <c r="K76" s="66"/>
      <c r="L76" s="66"/>
      <c r="M76" s="84"/>
      <c r="N76" s="66"/>
      <c r="O76" s="84"/>
    </row>
    <row r="77" spans="2:15" x14ac:dyDescent="0.2">
      <c r="B77" s="78"/>
      <c r="C77" s="60"/>
      <c r="D77" s="84"/>
      <c r="E77" s="66"/>
      <c r="F77" s="66"/>
      <c r="G77" s="66"/>
      <c r="H77" s="66"/>
      <c r="I77" s="66"/>
      <c r="J77" s="66"/>
      <c r="K77" s="66"/>
      <c r="L77" s="66"/>
      <c r="M77" s="84"/>
      <c r="N77" s="66"/>
      <c r="O77" s="84"/>
    </row>
    <row r="78" spans="2:15" x14ac:dyDescent="0.2">
      <c r="B78" s="78"/>
      <c r="C78" s="60"/>
      <c r="D78" s="84"/>
      <c r="E78" s="66"/>
      <c r="F78" s="66"/>
      <c r="G78" s="66"/>
      <c r="H78" s="66"/>
      <c r="I78" s="66"/>
      <c r="J78" s="66"/>
      <c r="K78" s="66"/>
      <c r="L78" s="66"/>
      <c r="M78" s="84"/>
      <c r="N78" s="66"/>
      <c r="O78" s="84"/>
    </row>
    <row r="79" spans="2:15" x14ac:dyDescent="0.2">
      <c r="B79" s="78"/>
      <c r="C79" s="60"/>
      <c r="D79" s="84"/>
      <c r="E79" s="66"/>
      <c r="F79" s="66"/>
      <c r="G79" s="66"/>
      <c r="H79" s="66"/>
      <c r="I79" s="66"/>
      <c r="J79" s="66"/>
      <c r="K79" s="66"/>
      <c r="L79" s="66"/>
      <c r="M79" s="84"/>
      <c r="N79" s="66"/>
      <c r="O79" s="84"/>
    </row>
    <row r="80" spans="2:15" x14ac:dyDescent="0.2">
      <c r="B80" s="78"/>
      <c r="C80" s="60"/>
      <c r="D80" s="84"/>
      <c r="E80" s="66"/>
      <c r="F80" s="66"/>
      <c r="G80" s="66"/>
      <c r="H80" s="66"/>
      <c r="I80" s="66"/>
      <c r="J80" s="66"/>
      <c r="K80" s="66"/>
      <c r="L80" s="66"/>
      <c r="M80" s="84"/>
      <c r="N80" s="66"/>
      <c r="O80" s="84"/>
    </row>
    <row r="81" spans="2:15" x14ac:dyDescent="0.2">
      <c r="B81" s="78"/>
      <c r="C81" s="60"/>
      <c r="D81" s="84"/>
      <c r="E81" s="66"/>
      <c r="F81" s="66"/>
      <c r="G81" s="66"/>
      <c r="H81" s="66"/>
      <c r="I81" s="66"/>
      <c r="J81" s="66"/>
      <c r="K81" s="66"/>
      <c r="L81" s="66"/>
      <c r="M81" s="84"/>
      <c r="N81" s="66"/>
      <c r="O81" s="84"/>
    </row>
    <row r="82" spans="2:15" x14ac:dyDescent="0.2">
      <c r="B82" s="78"/>
      <c r="C82" s="60"/>
      <c r="D82" s="84"/>
      <c r="E82" s="66"/>
      <c r="F82" s="66"/>
      <c r="G82" s="66"/>
      <c r="H82" s="66"/>
      <c r="I82" s="66"/>
      <c r="J82" s="66"/>
      <c r="K82" s="66"/>
      <c r="L82" s="66"/>
      <c r="M82" s="84"/>
      <c r="N82" s="66"/>
      <c r="O82" s="84"/>
    </row>
    <row r="83" spans="2:15" x14ac:dyDescent="0.2">
      <c r="B83" s="78"/>
      <c r="C83" s="60"/>
      <c r="D83" s="84"/>
      <c r="E83" s="66"/>
      <c r="F83" s="66"/>
      <c r="G83" s="66"/>
      <c r="H83" s="66"/>
      <c r="I83" s="66"/>
      <c r="J83" s="66"/>
      <c r="K83" s="66"/>
      <c r="L83" s="66"/>
      <c r="M83" s="84"/>
      <c r="N83" s="66"/>
      <c r="O83" s="84"/>
    </row>
    <row r="84" spans="2:15" x14ac:dyDescent="0.2">
      <c r="B84" s="78"/>
      <c r="C84" s="60"/>
      <c r="D84" s="84"/>
      <c r="E84" s="66"/>
      <c r="F84" s="66"/>
      <c r="G84" s="66"/>
      <c r="H84" s="66"/>
      <c r="I84" s="66"/>
      <c r="J84" s="66"/>
      <c r="K84" s="66"/>
      <c r="L84" s="66"/>
      <c r="M84" s="84"/>
      <c r="N84" s="66"/>
      <c r="O84" s="84"/>
    </row>
    <row r="85" spans="2:15" x14ac:dyDescent="0.2">
      <c r="B85" s="78"/>
      <c r="C85" s="60"/>
      <c r="D85" s="84"/>
      <c r="E85" s="66"/>
      <c r="F85" s="66"/>
      <c r="G85" s="66"/>
      <c r="H85" s="66"/>
      <c r="I85" s="66"/>
      <c r="J85" s="66"/>
      <c r="K85" s="66"/>
      <c r="L85" s="66"/>
      <c r="M85" s="84"/>
      <c r="N85" s="66"/>
      <c r="O85" s="84"/>
    </row>
    <row r="86" spans="2:15" x14ac:dyDescent="0.2">
      <c r="B86" s="78"/>
      <c r="C86" s="60"/>
      <c r="D86" s="84"/>
      <c r="E86" s="66"/>
      <c r="F86" s="66"/>
      <c r="G86" s="66"/>
      <c r="H86" s="66"/>
      <c r="I86" s="66"/>
      <c r="J86" s="66"/>
      <c r="K86" s="66"/>
      <c r="L86" s="66"/>
      <c r="M86" s="84"/>
      <c r="N86" s="66"/>
      <c r="O86" s="84"/>
    </row>
    <row r="87" spans="2:15" x14ac:dyDescent="0.2">
      <c r="B87" s="78"/>
      <c r="C87" s="60"/>
      <c r="D87" s="84"/>
      <c r="E87" s="66"/>
      <c r="F87" s="66"/>
      <c r="G87" s="66"/>
      <c r="H87" s="66"/>
      <c r="I87" s="66"/>
      <c r="J87" s="66"/>
      <c r="K87" s="66"/>
      <c r="L87" s="66"/>
      <c r="M87" s="84"/>
      <c r="N87" s="66"/>
      <c r="O87" s="84"/>
    </row>
    <row r="88" spans="2:15" x14ac:dyDescent="0.2">
      <c r="B88" s="78"/>
      <c r="C88" s="60"/>
      <c r="D88" s="84"/>
      <c r="E88" s="66"/>
      <c r="F88" s="66"/>
      <c r="G88" s="66"/>
      <c r="H88" s="66"/>
      <c r="I88" s="66"/>
      <c r="J88" s="66"/>
      <c r="K88" s="66"/>
      <c r="L88" s="66"/>
      <c r="M88" s="84"/>
      <c r="N88" s="66"/>
      <c r="O88" s="84"/>
    </row>
    <row r="89" spans="2:15" x14ac:dyDescent="0.2">
      <c r="B89" s="78"/>
      <c r="C89" s="60"/>
      <c r="D89" s="84"/>
      <c r="E89" s="66"/>
      <c r="F89" s="66"/>
      <c r="G89" s="66"/>
      <c r="H89" s="66"/>
      <c r="I89" s="66"/>
      <c r="J89" s="66"/>
      <c r="K89" s="66"/>
      <c r="L89" s="66"/>
      <c r="M89" s="84"/>
      <c r="N89" s="66"/>
      <c r="O89" s="84"/>
    </row>
    <row r="90" spans="2:15" x14ac:dyDescent="0.2">
      <c r="B90" s="78"/>
      <c r="C90" s="60"/>
      <c r="D90" s="84"/>
      <c r="E90" s="66"/>
      <c r="F90" s="66"/>
      <c r="G90" s="66"/>
      <c r="H90" s="66"/>
      <c r="I90" s="66"/>
      <c r="J90" s="66"/>
      <c r="K90" s="66"/>
      <c r="L90" s="66"/>
      <c r="M90" s="84"/>
      <c r="N90" s="66"/>
      <c r="O90" s="84"/>
    </row>
    <row r="91" spans="2:15" x14ac:dyDescent="0.2">
      <c r="B91" s="78"/>
      <c r="C91" s="60"/>
      <c r="D91" s="84"/>
      <c r="E91" s="66"/>
      <c r="F91" s="66"/>
      <c r="G91" s="66"/>
      <c r="H91" s="66"/>
      <c r="I91" s="66"/>
      <c r="J91" s="66"/>
      <c r="K91" s="66"/>
      <c r="L91" s="66"/>
      <c r="M91" s="84"/>
      <c r="N91" s="66"/>
      <c r="O91" s="84"/>
    </row>
    <row r="92" spans="2:15" x14ac:dyDescent="0.2">
      <c r="B92" s="78"/>
      <c r="C92" s="60"/>
      <c r="D92" s="84"/>
      <c r="E92" s="66"/>
      <c r="F92" s="66"/>
      <c r="G92" s="66"/>
      <c r="H92" s="66"/>
      <c r="I92" s="66"/>
      <c r="J92" s="66"/>
      <c r="K92" s="66"/>
      <c r="L92" s="66"/>
      <c r="M92" s="84"/>
      <c r="N92" s="66"/>
      <c r="O92" s="84"/>
    </row>
    <row r="93" spans="2:15" x14ac:dyDescent="0.2">
      <c r="B93" s="78"/>
      <c r="C93" s="60"/>
      <c r="D93" s="84"/>
      <c r="E93" s="66"/>
      <c r="F93" s="66"/>
      <c r="G93" s="66"/>
      <c r="H93" s="66"/>
      <c r="I93" s="66"/>
      <c r="J93" s="66"/>
      <c r="K93" s="66"/>
      <c r="L93" s="66"/>
      <c r="M93" s="84"/>
      <c r="N93" s="66"/>
      <c r="O93" s="84"/>
    </row>
    <row r="94" spans="2:15" x14ac:dyDescent="0.2">
      <c r="B94" s="78"/>
      <c r="C94" s="60"/>
      <c r="D94" s="84"/>
      <c r="E94" s="66"/>
      <c r="F94" s="66"/>
      <c r="G94" s="66"/>
      <c r="H94" s="66"/>
      <c r="I94" s="66"/>
      <c r="J94" s="66"/>
      <c r="K94" s="66"/>
      <c r="L94" s="66"/>
      <c r="M94" s="84"/>
      <c r="N94" s="66"/>
      <c r="O94" s="84"/>
    </row>
    <row r="95" spans="2:15" x14ac:dyDescent="0.2">
      <c r="B95" s="78"/>
      <c r="C95" s="60"/>
      <c r="D95" s="84"/>
      <c r="E95" s="66"/>
      <c r="F95" s="66"/>
      <c r="G95" s="66"/>
      <c r="H95" s="66"/>
      <c r="I95" s="66"/>
      <c r="J95" s="66"/>
      <c r="K95" s="66"/>
      <c r="L95" s="66"/>
      <c r="M95" s="84"/>
      <c r="N95" s="66"/>
      <c r="O95" s="84"/>
    </row>
    <row r="96" spans="2:15" x14ac:dyDescent="0.2">
      <c r="B96" s="78"/>
      <c r="C96" s="60"/>
      <c r="D96" s="84"/>
      <c r="E96" s="66"/>
      <c r="F96" s="66"/>
      <c r="G96" s="66"/>
      <c r="H96" s="66"/>
      <c r="I96" s="66"/>
      <c r="J96" s="66"/>
      <c r="K96" s="66"/>
      <c r="L96" s="66"/>
      <c r="M96" s="84"/>
      <c r="N96" s="66"/>
      <c r="O96" s="84"/>
    </row>
    <row r="97" spans="2:15" x14ac:dyDescent="0.2">
      <c r="B97" s="78"/>
      <c r="C97" s="60"/>
      <c r="D97" s="84"/>
      <c r="E97" s="66"/>
      <c r="F97" s="66"/>
      <c r="G97" s="66"/>
      <c r="H97" s="66"/>
      <c r="I97" s="66"/>
      <c r="J97" s="66"/>
      <c r="K97" s="66"/>
      <c r="L97" s="66"/>
      <c r="M97" s="84"/>
      <c r="N97" s="66"/>
      <c r="O97" s="84"/>
    </row>
    <row r="98" spans="2:15" x14ac:dyDescent="0.2">
      <c r="B98" s="78"/>
      <c r="C98" s="60"/>
      <c r="D98" s="84"/>
      <c r="E98" s="66"/>
      <c r="F98" s="66"/>
      <c r="G98" s="66"/>
      <c r="H98" s="66"/>
      <c r="I98" s="66"/>
      <c r="J98" s="66"/>
      <c r="K98" s="66"/>
      <c r="L98" s="66"/>
      <c r="M98" s="84"/>
      <c r="N98" s="66"/>
      <c r="O98" s="84"/>
    </row>
    <row r="99" spans="2:15" x14ac:dyDescent="0.2">
      <c r="B99" s="78"/>
      <c r="C99" s="60"/>
      <c r="D99" s="84"/>
      <c r="E99" s="66"/>
      <c r="F99" s="66"/>
      <c r="G99" s="66"/>
      <c r="H99" s="66"/>
      <c r="I99" s="66"/>
      <c r="J99" s="66"/>
      <c r="K99" s="66"/>
      <c r="L99" s="66"/>
      <c r="M99" s="84"/>
      <c r="N99" s="66"/>
      <c r="O99" s="84"/>
    </row>
    <row r="100" spans="2:15" x14ac:dyDescent="0.2">
      <c r="B100" s="78"/>
      <c r="C100" s="60"/>
      <c r="D100" s="84"/>
      <c r="E100" s="66"/>
      <c r="F100" s="66"/>
      <c r="G100" s="66"/>
      <c r="H100" s="66"/>
      <c r="I100" s="66"/>
      <c r="J100" s="66"/>
      <c r="K100" s="66"/>
      <c r="L100" s="66"/>
      <c r="M100" s="84"/>
      <c r="N100" s="66"/>
      <c r="O100" s="84"/>
    </row>
    <row r="101" spans="2:15" x14ac:dyDescent="0.2">
      <c r="B101" s="78"/>
      <c r="C101" s="60"/>
      <c r="D101" s="84"/>
      <c r="E101" s="66"/>
      <c r="F101" s="66"/>
      <c r="G101" s="66"/>
      <c r="H101" s="66"/>
      <c r="I101" s="66"/>
      <c r="J101" s="66"/>
      <c r="K101" s="66"/>
      <c r="L101" s="66"/>
      <c r="M101" s="84"/>
      <c r="N101" s="66"/>
      <c r="O101" s="84"/>
    </row>
    <row r="102" spans="2:15" x14ac:dyDescent="0.2">
      <c r="B102" s="78"/>
      <c r="C102" s="60"/>
      <c r="D102" s="84"/>
      <c r="E102" s="66"/>
      <c r="F102" s="66"/>
      <c r="G102" s="66"/>
      <c r="H102" s="66"/>
      <c r="I102" s="66"/>
      <c r="J102" s="66"/>
      <c r="K102" s="66"/>
      <c r="L102" s="66"/>
      <c r="M102" s="84"/>
      <c r="N102" s="66"/>
      <c r="O102" s="84"/>
    </row>
    <row r="103" spans="2:15" x14ac:dyDescent="0.2">
      <c r="B103" s="78"/>
      <c r="C103" s="60"/>
      <c r="D103" s="84"/>
      <c r="E103" s="66"/>
      <c r="F103" s="66"/>
      <c r="G103" s="66"/>
      <c r="H103" s="66"/>
      <c r="I103" s="66"/>
      <c r="J103" s="66"/>
      <c r="K103" s="66"/>
      <c r="L103" s="66"/>
      <c r="M103" s="84"/>
      <c r="N103" s="66"/>
      <c r="O103" s="84"/>
    </row>
    <row r="104" spans="2:15" x14ac:dyDescent="0.2">
      <c r="B104" s="78"/>
      <c r="C104" s="60"/>
      <c r="D104" s="84"/>
      <c r="E104" s="66"/>
      <c r="F104" s="66"/>
      <c r="G104" s="66"/>
      <c r="H104" s="66"/>
      <c r="I104" s="66"/>
      <c r="J104" s="66"/>
      <c r="K104" s="66"/>
      <c r="L104" s="66"/>
      <c r="M104" s="84"/>
      <c r="N104" s="66"/>
      <c r="O104" s="84"/>
    </row>
    <row r="105" spans="2:15" x14ac:dyDescent="0.2">
      <c r="B105" s="78"/>
      <c r="C105" s="60"/>
      <c r="D105" s="84"/>
      <c r="E105" s="66"/>
      <c r="F105" s="66"/>
      <c r="G105" s="66"/>
      <c r="H105" s="66"/>
      <c r="I105" s="66"/>
      <c r="J105" s="66"/>
      <c r="K105" s="66"/>
      <c r="L105" s="66"/>
      <c r="M105" s="84"/>
      <c r="N105" s="66"/>
      <c r="O105" s="84"/>
    </row>
    <row r="106" spans="2:15" x14ac:dyDescent="0.2">
      <c r="B106" s="78"/>
      <c r="C106" s="60"/>
      <c r="D106" s="84"/>
      <c r="E106" s="66"/>
      <c r="F106" s="66"/>
      <c r="G106" s="66"/>
      <c r="H106" s="66"/>
      <c r="I106" s="66"/>
      <c r="J106" s="66"/>
      <c r="K106" s="66"/>
      <c r="L106" s="66"/>
      <c r="M106" s="84"/>
      <c r="N106" s="66"/>
      <c r="O106" s="84"/>
    </row>
    <row r="107" spans="2:15" x14ac:dyDescent="0.2">
      <c r="B107" s="78"/>
      <c r="C107" s="60"/>
      <c r="D107" s="84"/>
      <c r="E107" s="66"/>
      <c r="F107" s="66"/>
      <c r="G107" s="66"/>
      <c r="H107" s="66"/>
      <c r="I107" s="66"/>
      <c r="J107" s="66"/>
      <c r="K107" s="66"/>
      <c r="L107" s="66"/>
      <c r="M107" s="84"/>
      <c r="N107" s="66"/>
      <c r="O107" s="84"/>
    </row>
    <row r="108" spans="2:15" x14ac:dyDescent="0.2">
      <c r="B108" s="78"/>
      <c r="C108" s="60"/>
      <c r="D108" s="84"/>
      <c r="E108" s="66"/>
      <c r="F108" s="66"/>
      <c r="G108" s="66"/>
      <c r="H108" s="66"/>
      <c r="I108" s="66"/>
      <c r="J108" s="66"/>
      <c r="K108" s="66"/>
      <c r="L108" s="66"/>
      <c r="M108" s="84"/>
      <c r="N108" s="66"/>
      <c r="O108" s="84"/>
    </row>
    <row r="109" spans="2:15" x14ac:dyDescent="0.2">
      <c r="B109" s="78"/>
      <c r="C109" s="60"/>
      <c r="D109" s="84"/>
      <c r="E109" s="66"/>
      <c r="F109" s="66"/>
      <c r="G109" s="66"/>
      <c r="H109" s="66"/>
      <c r="I109" s="66"/>
      <c r="J109" s="66"/>
      <c r="K109" s="66"/>
      <c r="L109" s="66"/>
      <c r="M109" s="84"/>
      <c r="N109" s="66"/>
      <c r="O109" s="84"/>
    </row>
    <row r="110" spans="2:15" x14ac:dyDescent="0.2">
      <c r="B110" s="78"/>
      <c r="C110" s="60"/>
      <c r="D110" s="84"/>
      <c r="E110" s="66"/>
      <c r="F110" s="66"/>
      <c r="G110" s="66"/>
      <c r="H110" s="66"/>
      <c r="I110" s="66"/>
      <c r="J110" s="66"/>
      <c r="K110" s="66"/>
      <c r="L110" s="66"/>
      <c r="M110" s="84"/>
      <c r="N110" s="66"/>
      <c r="O110" s="84"/>
    </row>
    <row r="111" spans="2:15" x14ac:dyDescent="0.2">
      <c r="B111" s="78"/>
      <c r="C111" s="60"/>
      <c r="D111" s="84"/>
      <c r="E111" s="66"/>
      <c r="F111" s="66"/>
      <c r="G111" s="66"/>
      <c r="H111" s="66"/>
      <c r="I111" s="66"/>
      <c r="J111" s="66"/>
      <c r="K111" s="66"/>
      <c r="L111" s="66"/>
      <c r="M111" s="84"/>
      <c r="N111" s="66"/>
      <c r="O111" s="84"/>
    </row>
    <row r="112" spans="2:15" x14ac:dyDescent="0.2">
      <c r="B112" s="78"/>
      <c r="C112" s="60"/>
      <c r="D112" s="84"/>
      <c r="E112" s="66"/>
      <c r="F112" s="66"/>
      <c r="G112" s="66"/>
      <c r="H112" s="66"/>
      <c r="I112" s="66"/>
      <c r="J112" s="66"/>
      <c r="K112" s="66"/>
      <c r="L112" s="66"/>
      <c r="M112" s="84"/>
      <c r="N112" s="66"/>
      <c r="O112" s="84"/>
    </row>
    <row r="113" spans="2:15" x14ac:dyDescent="0.2">
      <c r="B113" s="78"/>
      <c r="C113" s="60"/>
      <c r="D113" s="84"/>
      <c r="E113" s="66"/>
      <c r="F113" s="66"/>
      <c r="G113" s="66"/>
      <c r="H113" s="66"/>
      <c r="I113" s="66"/>
      <c r="J113" s="66"/>
      <c r="K113" s="66"/>
      <c r="L113" s="66"/>
      <c r="M113" s="84"/>
      <c r="N113" s="66"/>
      <c r="O113" s="84"/>
    </row>
    <row r="114" spans="2:15" x14ac:dyDescent="0.2">
      <c r="B114" s="78"/>
      <c r="C114" s="60"/>
      <c r="D114" s="84"/>
      <c r="E114" s="66"/>
      <c r="F114" s="66"/>
      <c r="G114" s="66"/>
      <c r="H114" s="66"/>
      <c r="I114" s="66"/>
      <c r="J114" s="66"/>
      <c r="K114" s="66"/>
      <c r="L114" s="66"/>
      <c r="M114" s="84"/>
      <c r="N114" s="66"/>
      <c r="O114" s="84"/>
    </row>
    <row r="115" spans="2:15" x14ac:dyDescent="0.2">
      <c r="B115" s="78"/>
      <c r="C115" s="60"/>
      <c r="D115" s="84"/>
      <c r="E115" s="66"/>
      <c r="F115" s="66"/>
      <c r="G115" s="66"/>
      <c r="H115" s="66"/>
      <c r="I115" s="66"/>
      <c r="J115" s="66"/>
      <c r="K115" s="66"/>
      <c r="L115" s="66"/>
      <c r="M115" s="84"/>
      <c r="N115" s="66"/>
      <c r="O115" s="84"/>
    </row>
    <row r="116" spans="2:15" x14ac:dyDescent="0.2">
      <c r="B116" s="78"/>
      <c r="C116" s="60"/>
      <c r="D116" s="84"/>
      <c r="E116" s="66"/>
      <c r="F116" s="66"/>
      <c r="G116" s="66"/>
      <c r="H116" s="66"/>
      <c r="I116" s="66"/>
      <c r="J116" s="66"/>
      <c r="K116" s="66"/>
      <c r="L116" s="66"/>
      <c r="M116" s="84"/>
      <c r="N116" s="66"/>
      <c r="O116" s="84"/>
    </row>
    <row r="117" spans="2:15" x14ac:dyDescent="0.2">
      <c r="B117" s="78"/>
      <c r="C117" s="60"/>
      <c r="D117" s="84"/>
      <c r="E117" s="66"/>
      <c r="F117" s="66"/>
      <c r="G117" s="66"/>
      <c r="H117" s="66"/>
      <c r="I117" s="66"/>
      <c r="J117" s="66"/>
      <c r="K117" s="66"/>
      <c r="L117" s="66"/>
      <c r="M117" s="84"/>
      <c r="N117" s="66"/>
      <c r="O117" s="84"/>
    </row>
    <row r="118" spans="2:15" x14ac:dyDescent="0.2">
      <c r="B118" s="78"/>
      <c r="C118" s="60"/>
      <c r="D118" s="84"/>
      <c r="E118" s="66"/>
      <c r="F118" s="66"/>
      <c r="G118" s="66"/>
      <c r="H118" s="66"/>
      <c r="I118" s="66"/>
      <c r="J118" s="66"/>
      <c r="K118" s="66"/>
      <c r="L118" s="66"/>
      <c r="M118" s="84"/>
      <c r="N118" s="66"/>
      <c r="O118" s="84"/>
    </row>
    <row r="119" spans="2:15" x14ac:dyDescent="0.2">
      <c r="B119" s="78"/>
      <c r="C119" s="60"/>
      <c r="D119" s="84"/>
      <c r="E119" s="66"/>
      <c r="F119" s="66"/>
      <c r="G119" s="66"/>
      <c r="H119" s="66"/>
      <c r="I119" s="66"/>
      <c r="J119" s="66"/>
      <c r="K119" s="66"/>
      <c r="L119" s="66"/>
      <c r="M119" s="84"/>
      <c r="N119" s="66"/>
      <c r="O119" s="84"/>
    </row>
    <row r="120" spans="2:15" x14ac:dyDescent="0.2">
      <c r="B120" s="78"/>
      <c r="C120" s="60"/>
      <c r="D120" s="84"/>
      <c r="E120" s="66"/>
      <c r="F120" s="66"/>
      <c r="G120" s="66"/>
      <c r="H120" s="66"/>
      <c r="I120" s="66"/>
      <c r="J120" s="66"/>
      <c r="K120" s="66"/>
      <c r="L120" s="66"/>
      <c r="M120" s="84"/>
      <c r="N120" s="66"/>
      <c r="O120" s="84"/>
    </row>
    <row r="121" spans="2:15" x14ac:dyDescent="0.2">
      <c r="B121" s="78"/>
      <c r="C121" s="60"/>
      <c r="D121" s="84"/>
      <c r="E121" s="66"/>
      <c r="F121" s="66"/>
      <c r="G121" s="66"/>
      <c r="H121" s="66"/>
      <c r="I121" s="66"/>
      <c r="J121" s="66"/>
      <c r="K121" s="66"/>
      <c r="L121" s="66"/>
      <c r="M121" s="84"/>
      <c r="N121" s="66"/>
      <c r="O121" s="84"/>
    </row>
    <row r="122" spans="2:15" x14ac:dyDescent="0.2">
      <c r="B122" s="78"/>
      <c r="C122" s="60"/>
      <c r="D122" s="84"/>
      <c r="E122" s="66"/>
      <c r="F122" s="66"/>
      <c r="G122" s="66"/>
      <c r="H122" s="66"/>
      <c r="I122" s="66"/>
      <c r="J122" s="66"/>
      <c r="K122" s="66"/>
      <c r="L122" s="66"/>
      <c r="M122" s="84"/>
      <c r="N122" s="66"/>
      <c r="O122" s="84"/>
    </row>
    <row r="123" spans="2:15" x14ac:dyDescent="0.2">
      <c r="B123" s="78"/>
      <c r="C123" s="60"/>
      <c r="D123" s="84"/>
      <c r="E123" s="66"/>
      <c r="F123" s="66"/>
      <c r="G123" s="66"/>
      <c r="H123" s="66"/>
      <c r="I123" s="66"/>
      <c r="J123" s="66"/>
      <c r="K123" s="66"/>
      <c r="L123" s="66"/>
      <c r="M123" s="84"/>
      <c r="N123" s="66"/>
      <c r="O123" s="84"/>
    </row>
    <row r="124" spans="2:15" x14ac:dyDescent="0.2">
      <c r="B124" s="78"/>
      <c r="C124" s="60"/>
      <c r="D124" s="84"/>
      <c r="E124" s="66"/>
      <c r="F124" s="66"/>
      <c r="G124" s="66"/>
      <c r="H124" s="66"/>
      <c r="I124" s="66"/>
      <c r="J124" s="66"/>
      <c r="K124" s="66"/>
      <c r="L124" s="66"/>
      <c r="M124" s="84"/>
      <c r="N124" s="66"/>
      <c r="O124" s="84"/>
    </row>
    <row r="125" spans="2:15" x14ac:dyDescent="0.2">
      <c r="B125" s="78"/>
      <c r="C125" s="60"/>
      <c r="D125" s="84"/>
      <c r="E125" s="66"/>
      <c r="F125" s="66"/>
      <c r="G125" s="66"/>
      <c r="H125" s="66"/>
      <c r="I125" s="66"/>
      <c r="J125" s="66"/>
      <c r="K125" s="66"/>
      <c r="L125" s="66"/>
      <c r="M125" s="84"/>
      <c r="N125" s="66"/>
      <c r="O125" s="84"/>
    </row>
    <row r="126" spans="2:15" x14ac:dyDescent="0.2">
      <c r="B126" s="78"/>
      <c r="C126" s="60"/>
      <c r="D126" s="84"/>
      <c r="E126" s="66"/>
      <c r="F126" s="66"/>
      <c r="G126" s="66"/>
      <c r="H126" s="66"/>
      <c r="I126" s="66"/>
      <c r="J126" s="66"/>
      <c r="K126" s="66"/>
      <c r="L126" s="66"/>
      <c r="M126" s="84"/>
      <c r="N126" s="66"/>
      <c r="O126" s="84"/>
    </row>
    <row r="127" spans="2:15" x14ac:dyDescent="0.2">
      <c r="B127" s="78"/>
      <c r="C127" s="60"/>
      <c r="D127" s="84"/>
      <c r="E127" s="66"/>
      <c r="F127" s="66"/>
      <c r="G127" s="66"/>
      <c r="H127" s="66"/>
      <c r="I127" s="66"/>
      <c r="J127" s="66"/>
      <c r="K127" s="66"/>
      <c r="L127" s="66"/>
      <c r="M127" s="84"/>
      <c r="N127" s="66"/>
      <c r="O127" s="84"/>
    </row>
    <row r="128" spans="2:15" x14ac:dyDescent="0.2">
      <c r="B128" s="78"/>
      <c r="C128" s="60"/>
      <c r="D128" s="84"/>
      <c r="E128" s="66"/>
      <c r="F128" s="66"/>
      <c r="G128" s="66"/>
      <c r="H128" s="66"/>
      <c r="I128" s="66"/>
      <c r="J128" s="66"/>
      <c r="K128" s="66"/>
      <c r="L128" s="66"/>
      <c r="M128" s="84"/>
      <c r="N128" s="66"/>
      <c r="O128" s="84"/>
    </row>
    <row r="129" spans="2:15" x14ac:dyDescent="0.2">
      <c r="B129" s="78"/>
      <c r="C129" s="60"/>
      <c r="D129" s="84"/>
      <c r="E129" s="66"/>
      <c r="F129" s="66"/>
      <c r="G129" s="66"/>
      <c r="H129" s="66"/>
      <c r="I129" s="66"/>
      <c r="J129" s="66"/>
      <c r="K129" s="66"/>
      <c r="L129" s="66"/>
      <c r="M129" s="84"/>
      <c r="N129" s="66"/>
      <c r="O129" s="84"/>
    </row>
    <row r="130" spans="2:15" x14ac:dyDescent="0.2">
      <c r="B130" s="78"/>
      <c r="C130" s="60"/>
      <c r="D130" s="84"/>
      <c r="E130" s="66"/>
      <c r="F130" s="66"/>
      <c r="G130" s="66"/>
      <c r="H130" s="66"/>
      <c r="I130" s="66"/>
      <c r="J130" s="66"/>
      <c r="K130" s="66"/>
      <c r="L130" s="66"/>
      <c r="M130" s="84"/>
      <c r="N130" s="66"/>
      <c r="O130" s="84"/>
    </row>
    <row r="131" spans="2:15" x14ac:dyDescent="0.2">
      <c r="B131" s="78"/>
      <c r="C131" s="60"/>
      <c r="D131" s="84"/>
      <c r="E131" s="66"/>
      <c r="F131" s="66"/>
      <c r="G131" s="66"/>
      <c r="H131" s="66"/>
      <c r="I131" s="66"/>
      <c r="J131" s="66"/>
      <c r="K131" s="66"/>
      <c r="L131" s="66"/>
      <c r="M131" s="84"/>
      <c r="N131" s="66"/>
      <c r="O131" s="84"/>
    </row>
    <row r="132" spans="2:15" x14ac:dyDescent="0.2">
      <c r="B132" s="79"/>
      <c r="C132" s="4"/>
      <c r="D132" s="80"/>
      <c r="E132" s="4"/>
      <c r="F132" s="4"/>
      <c r="G132" s="4"/>
      <c r="H132" s="4"/>
      <c r="I132" s="4"/>
      <c r="J132" s="4"/>
      <c r="K132" s="4"/>
      <c r="L132" s="4"/>
      <c r="M132" s="80"/>
      <c r="N132" s="4"/>
      <c r="O132" s="80"/>
    </row>
    <row r="133" spans="2:15" x14ac:dyDescent="0.2">
      <c r="B133" s="79"/>
      <c r="C133" s="4"/>
      <c r="D133" s="80"/>
      <c r="E133" s="4"/>
      <c r="F133" s="4"/>
      <c r="G133" s="4"/>
      <c r="H133" s="4"/>
      <c r="I133" s="4"/>
      <c r="J133" s="4"/>
      <c r="K133" s="4"/>
      <c r="L133" s="4"/>
      <c r="M133" s="80"/>
      <c r="N133" s="4"/>
      <c r="O133" s="80"/>
    </row>
    <row r="134" spans="2:15" x14ac:dyDescent="0.2">
      <c r="B134" s="79"/>
      <c r="C134" s="4"/>
      <c r="D134" s="80"/>
      <c r="E134" s="4"/>
      <c r="F134" s="4"/>
      <c r="G134" s="4"/>
      <c r="H134" s="4"/>
      <c r="I134" s="4"/>
      <c r="J134" s="4"/>
      <c r="K134" s="4"/>
      <c r="L134" s="4"/>
      <c r="M134" s="80"/>
      <c r="N134" s="4"/>
      <c r="O134" s="80"/>
    </row>
    <row r="135" spans="2:15" x14ac:dyDescent="0.2">
      <c r="B135" s="79"/>
      <c r="C135" s="4"/>
      <c r="D135" s="80"/>
      <c r="E135" s="4"/>
      <c r="F135" s="4"/>
      <c r="G135" s="4"/>
      <c r="H135" s="4"/>
      <c r="I135" s="4"/>
      <c r="J135" s="4"/>
      <c r="K135" s="4"/>
      <c r="L135" s="4"/>
      <c r="M135" s="80"/>
      <c r="N135" s="4"/>
      <c r="O135" s="80"/>
    </row>
    <row r="136" spans="2:15" x14ac:dyDescent="0.2">
      <c r="B136" s="79"/>
      <c r="C136" s="4"/>
      <c r="D136" s="80"/>
      <c r="E136" s="4"/>
      <c r="F136" s="4"/>
      <c r="G136" s="4"/>
      <c r="H136" s="4"/>
      <c r="I136" s="4"/>
      <c r="J136" s="4"/>
      <c r="K136" s="4"/>
      <c r="L136" s="4"/>
      <c r="M136" s="80"/>
      <c r="N136" s="4"/>
      <c r="O136" s="80"/>
    </row>
    <row r="137" spans="2:15" x14ac:dyDescent="0.2">
      <c r="B137" s="79"/>
      <c r="C137" s="4"/>
      <c r="D137" s="80"/>
      <c r="E137" s="4"/>
      <c r="F137" s="4"/>
      <c r="G137" s="4"/>
      <c r="H137" s="4"/>
      <c r="I137" s="4"/>
      <c r="J137" s="4"/>
      <c r="K137" s="4"/>
      <c r="L137" s="4"/>
      <c r="M137" s="80"/>
      <c r="N137" s="4"/>
      <c r="O137" s="80"/>
    </row>
    <row r="138" spans="2:15" x14ac:dyDescent="0.2">
      <c r="B138" s="79"/>
      <c r="C138" s="4"/>
      <c r="D138" s="80"/>
      <c r="E138" s="4"/>
      <c r="F138" s="4"/>
      <c r="G138" s="4"/>
      <c r="H138" s="4"/>
      <c r="I138" s="4"/>
      <c r="J138" s="4"/>
      <c r="K138" s="4"/>
      <c r="L138" s="4"/>
      <c r="M138" s="80"/>
      <c r="N138" s="4"/>
      <c r="O138" s="80"/>
    </row>
    <row r="139" spans="2:15" x14ac:dyDescent="0.2">
      <c r="B139" s="79"/>
      <c r="C139" s="4"/>
      <c r="D139" s="80"/>
      <c r="E139" s="4"/>
      <c r="F139" s="4"/>
      <c r="G139" s="4"/>
      <c r="H139" s="4"/>
      <c r="I139" s="4"/>
      <c r="J139" s="4"/>
      <c r="K139" s="4"/>
      <c r="L139" s="4"/>
      <c r="M139" s="80"/>
      <c r="N139" s="4"/>
      <c r="O139" s="80"/>
    </row>
    <row r="140" spans="2:15" x14ac:dyDescent="0.2">
      <c r="B140" s="79"/>
      <c r="C140" s="4"/>
      <c r="D140" s="80"/>
      <c r="E140" s="4"/>
      <c r="F140" s="4"/>
      <c r="G140" s="4"/>
      <c r="H140" s="4"/>
      <c r="I140" s="4"/>
      <c r="J140" s="4"/>
      <c r="K140" s="4"/>
      <c r="L140" s="4"/>
      <c r="M140" s="80"/>
      <c r="N140" s="4"/>
      <c r="O140" s="80"/>
    </row>
    <row r="141" spans="2:15" x14ac:dyDescent="0.2">
      <c r="B141" s="79"/>
      <c r="C141" s="4"/>
      <c r="D141" s="80"/>
      <c r="E141" s="4"/>
      <c r="F141" s="4"/>
      <c r="G141" s="4"/>
      <c r="H141" s="4"/>
      <c r="I141" s="4"/>
      <c r="J141" s="4"/>
      <c r="K141" s="4"/>
      <c r="L141" s="4"/>
      <c r="M141" s="80"/>
      <c r="N141" s="4"/>
      <c r="O141" s="80"/>
    </row>
    <row r="142" spans="2:15" x14ac:dyDescent="0.2">
      <c r="B142" s="79"/>
      <c r="C142" s="4"/>
      <c r="D142" s="80"/>
      <c r="E142" s="4"/>
      <c r="F142" s="4"/>
      <c r="G142" s="4"/>
      <c r="H142" s="4"/>
      <c r="I142" s="4"/>
      <c r="J142" s="4"/>
      <c r="K142" s="4"/>
      <c r="L142" s="4"/>
      <c r="M142" s="80"/>
      <c r="N142" s="4"/>
      <c r="O142" s="80"/>
    </row>
    <row r="143" spans="2:15" x14ac:dyDescent="0.2">
      <c r="B143" s="79"/>
      <c r="C143" s="4"/>
      <c r="D143" s="80"/>
      <c r="E143" s="4"/>
      <c r="F143" s="4"/>
      <c r="G143" s="4"/>
      <c r="H143" s="4"/>
      <c r="I143" s="4"/>
      <c r="J143" s="4"/>
      <c r="K143" s="4"/>
      <c r="L143" s="4"/>
      <c r="M143" s="80"/>
      <c r="N143" s="4"/>
      <c r="O143" s="80"/>
    </row>
    <row r="144" spans="2:15" x14ac:dyDescent="0.2">
      <c r="B144" s="79"/>
      <c r="C144" s="4"/>
      <c r="D144" s="80"/>
      <c r="E144" s="4"/>
      <c r="F144" s="4"/>
      <c r="G144" s="4"/>
      <c r="H144" s="4"/>
      <c r="I144" s="4"/>
      <c r="J144" s="4"/>
      <c r="K144" s="4"/>
      <c r="L144" s="4"/>
      <c r="M144" s="80"/>
      <c r="N144" s="4"/>
      <c r="O144" s="80"/>
    </row>
    <row r="145" spans="2:15" x14ac:dyDescent="0.2">
      <c r="B145" s="79"/>
      <c r="C145" s="4"/>
      <c r="D145" s="80"/>
      <c r="E145" s="4"/>
      <c r="F145" s="4"/>
      <c r="G145" s="4"/>
      <c r="H145" s="4"/>
      <c r="I145" s="4"/>
      <c r="J145" s="4"/>
      <c r="K145" s="4"/>
      <c r="L145" s="4"/>
      <c r="M145" s="80"/>
      <c r="N145" s="4"/>
      <c r="O145" s="80"/>
    </row>
    <row r="146" spans="2:15" x14ac:dyDescent="0.2">
      <c r="B146" s="79"/>
      <c r="C146" s="4"/>
      <c r="D146" s="80"/>
      <c r="E146" s="4"/>
      <c r="F146" s="4"/>
      <c r="G146" s="4"/>
      <c r="H146" s="4"/>
      <c r="I146" s="4"/>
      <c r="J146" s="4"/>
      <c r="K146" s="4"/>
      <c r="L146" s="4"/>
      <c r="M146" s="80"/>
      <c r="N146" s="4"/>
      <c r="O146" s="80"/>
    </row>
    <row r="147" spans="2:15" x14ac:dyDescent="0.2">
      <c r="B147" s="79"/>
      <c r="C147" s="4"/>
      <c r="D147" s="80"/>
      <c r="E147" s="4"/>
      <c r="F147" s="4"/>
      <c r="G147" s="4"/>
      <c r="H147" s="4"/>
      <c r="I147" s="4"/>
      <c r="J147" s="4"/>
      <c r="K147" s="4"/>
      <c r="L147" s="4"/>
      <c r="M147" s="80"/>
      <c r="N147" s="4"/>
      <c r="O147" s="80"/>
    </row>
    <row r="148" spans="2:15" x14ac:dyDescent="0.2">
      <c r="C148" s="4"/>
      <c r="D148" s="80"/>
      <c r="E148" s="4"/>
      <c r="F148" s="4"/>
      <c r="G148" s="4"/>
      <c r="H148" s="4"/>
      <c r="I148" s="4"/>
      <c r="J148" s="4"/>
      <c r="K148" s="4"/>
      <c r="L148" s="4"/>
      <c r="M148" s="80"/>
      <c r="N148" s="4"/>
      <c r="O148" s="80"/>
    </row>
    <row r="149" spans="2:15" x14ac:dyDescent="0.2">
      <c r="C149" s="4"/>
      <c r="D149" s="80"/>
      <c r="E149" s="4"/>
      <c r="F149" s="4"/>
      <c r="G149" s="4"/>
      <c r="H149" s="4"/>
      <c r="I149" s="4"/>
      <c r="J149" s="4"/>
      <c r="K149" s="4"/>
      <c r="L149" s="4"/>
      <c r="M149" s="80"/>
      <c r="N149" s="4"/>
      <c r="O149" s="80"/>
    </row>
    <row r="150" spans="2:15" x14ac:dyDescent="0.2">
      <c r="C150" s="4"/>
      <c r="D150" s="80"/>
      <c r="E150" s="4"/>
      <c r="F150" s="4"/>
      <c r="G150" s="4"/>
      <c r="H150" s="4"/>
      <c r="I150" s="4"/>
      <c r="J150" s="4"/>
      <c r="K150" s="4"/>
      <c r="L150" s="4"/>
      <c r="M150" s="80"/>
      <c r="N150" s="4"/>
      <c r="O150" s="80"/>
    </row>
    <row r="151" spans="2:15" x14ac:dyDescent="0.2">
      <c r="C151" s="4"/>
      <c r="D151" s="80"/>
      <c r="E151" s="4"/>
      <c r="F151" s="4"/>
      <c r="G151" s="4"/>
      <c r="H151" s="4"/>
      <c r="I151" s="4"/>
      <c r="J151" s="4"/>
      <c r="K151" s="4"/>
      <c r="L151" s="4"/>
      <c r="M151" s="80"/>
      <c r="N151" s="4"/>
      <c r="O151" s="80"/>
    </row>
    <row r="152" spans="2:15" x14ac:dyDescent="0.2">
      <c r="C152" s="4"/>
      <c r="D152" s="80"/>
      <c r="E152" s="4"/>
      <c r="F152" s="4"/>
      <c r="G152" s="4"/>
      <c r="H152" s="4"/>
      <c r="I152" s="4"/>
      <c r="J152" s="4"/>
      <c r="K152" s="4"/>
      <c r="L152" s="4"/>
      <c r="M152" s="80"/>
      <c r="N152" s="4"/>
      <c r="O152" s="80"/>
    </row>
    <row r="153" spans="2:15" x14ac:dyDescent="0.2">
      <c r="C153" s="4"/>
      <c r="D153" s="80"/>
      <c r="E153" s="4"/>
      <c r="F153" s="4"/>
      <c r="G153" s="4"/>
      <c r="H153" s="4"/>
      <c r="I153" s="4"/>
      <c r="J153" s="4"/>
      <c r="K153" s="4"/>
      <c r="L153" s="4"/>
      <c r="M153" s="80"/>
      <c r="N153" s="4"/>
      <c r="O153" s="80"/>
    </row>
    <row r="154" spans="2:15" x14ac:dyDescent="0.2">
      <c r="C154" s="4"/>
      <c r="D154" s="80"/>
      <c r="E154" s="4"/>
      <c r="F154" s="4"/>
      <c r="G154" s="4"/>
      <c r="H154" s="4"/>
      <c r="I154" s="4"/>
      <c r="J154" s="4"/>
      <c r="K154" s="4"/>
      <c r="L154" s="4"/>
      <c r="M154" s="80"/>
      <c r="N154" s="4"/>
      <c r="O154" s="80"/>
    </row>
    <row r="155" spans="2:15" x14ac:dyDescent="0.2">
      <c r="C155" s="4"/>
      <c r="D155" s="80"/>
      <c r="E155" s="4"/>
      <c r="F155" s="4"/>
      <c r="G155" s="4"/>
      <c r="H155" s="4"/>
      <c r="I155" s="4"/>
      <c r="J155" s="4"/>
      <c r="K155" s="4"/>
      <c r="L155" s="4"/>
      <c r="M155" s="80"/>
      <c r="N155" s="4"/>
      <c r="O155" s="80"/>
    </row>
    <row r="156" spans="2:15" x14ac:dyDescent="0.2">
      <c r="C156" s="4"/>
      <c r="D156" s="80"/>
      <c r="E156" s="4"/>
      <c r="F156" s="4"/>
      <c r="G156" s="4"/>
      <c r="H156" s="4"/>
      <c r="I156" s="4"/>
      <c r="J156" s="4"/>
      <c r="K156" s="4"/>
      <c r="L156" s="4"/>
      <c r="M156" s="80"/>
      <c r="N156" s="4"/>
      <c r="O156" s="80"/>
    </row>
    <row r="157" spans="2:15" x14ac:dyDescent="0.2">
      <c r="C157" s="4"/>
      <c r="D157" s="80"/>
      <c r="E157" s="4"/>
      <c r="F157" s="4"/>
      <c r="G157" s="4"/>
      <c r="H157" s="4"/>
      <c r="I157" s="4"/>
      <c r="J157" s="4"/>
      <c r="K157" s="4"/>
      <c r="L157" s="4"/>
      <c r="M157" s="80"/>
      <c r="N157" s="4"/>
      <c r="O157" s="80"/>
    </row>
    <row r="158" spans="2:15" x14ac:dyDescent="0.2">
      <c r="C158" s="4"/>
      <c r="D158" s="80"/>
      <c r="E158" s="4"/>
      <c r="F158" s="4"/>
      <c r="G158" s="4"/>
      <c r="H158" s="4"/>
      <c r="I158" s="4"/>
      <c r="J158" s="4"/>
      <c r="K158" s="4"/>
      <c r="L158" s="4"/>
      <c r="M158" s="80"/>
      <c r="N158" s="4"/>
      <c r="O158" s="80"/>
    </row>
    <row r="159" spans="2:15" x14ac:dyDescent="0.2">
      <c r="C159" s="4"/>
      <c r="D159" s="80"/>
      <c r="E159" s="4"/>
      <c r="F159" s="4"/>
      <c r="G159" s="4"/>
      <c r="H159" s="4"/>
      <c r="I159" s="4"/>
      <c r="J159" s="4"/>
      <c r="K159" s="4"/>
      <c r="L159" s="4"/>
      <c r="M159" s="80"/>
      <c r="N159" s="4"/>
      <c r="O159" s="80"/>
    </row>
    <row r="160" spans="2:15" x14ac:dyDescent="0.2">
      <c r="C160" s="4"/>
      <c r="D160" s="80"/>
      <c r="E160" s="4"/>
      <c r="F160" s="4"/>
      <c r="G160" s="4"/>
      <c r="H160" s="4"/>
      <c r="I160" s="4"/>
      <c r="J160" s="4"/>
      <c r="K160" s="4"/>
      <c r="L160" s="4"/>
      <c r="M160" s="80"/>
      <c r="N160" s="4"/>
      <c r="O160" s="80"/>
    </row>
    <row r="161" spans="3:15" x14ac:dyDescent="0.2">
      <c r="C161" s="4"/>
      <c r="D161" s="80"/>
      <c r="E161" s="4"/>
      <c r="F161" s="4"/>
      <c r="G161" s="4"/>
      <c r="H161" s="4"/>
      <c r="I161" s="4"/>
      <c r="J161" s="4"/>
      <c r="K161" s="4"/>
      <c r="L161" s="4"/>
      <c r="M161" s="80"/>
      <c r="N161" s="4"/>
      <c r="O161" s="80"/>
    </row>
    <row r="162" spans="3:15" x14ac:dyDescent="0.2">
      <c r="C162" s="4"/>
      <c r="D162" s="80"/>
      <c r="E162" s="4"/>
      <c r="F162" s="4"/>
      <c r="G162" s="4"/>
      <c r="H162" s="4"/>
      <c r="I162" s="4"/>
      <c r="J162" s="4"/>
      <c r="K162" s="4"/>
      <c r="L162" s="4"/>
      <c r="M162" s="80"/>
      <c r="N162" s="4"/>
      <c r="O162" s="80"/>
    </row>
    <row r="163" spans="3:15" x14ac:dyDescent="0.2">
      <c r="C163" s="4"/>
      <c r="D163" s="80"/>
      <c r="E163" s="4"/>
      <c r="F163" s="4"/>
      <c r="G163" s="4"/>
      <c r="H163" s="4"/>
      <c r="I163" s="4"/>
      <c r="J163" s="4"/>
      <c r="K163" s="4"/>
      <c r="L163" s="4"/>
      <c r="M163" s="80"/>
      <c r="N163" s="4"/>
      <c r="O163" s="80"/>
    </row>
    <row r="164" spans="3:15" x14ac:dyDescent="0.2">
      <c r="C164" s="4"/>
      <c r="D164" s="80"/>
      <c r="E164" s="4"/>
      <c r="F164" s="4"/>
      <c r="G164" s="4"/>
      <c r="H164" s="4"/>
      <c r="I164" s="4"/>
      <c r="J164" s="4"/>
      <c r="K164" s="4"/>
      <c r="L164" s="4"/>
      <c r="M164" s="80"/>
      <c r="N164" s="4"/>
      <c r="O164" s="80"/>
    </row>
    <row r="165" spans="3:15" x14ac:dyDescent="0.2">
      <c r="C165" s="4"/>
      <c r="D165" s="80"/>
      <c r="E165" s="4"/>
      <c r="F165" s="4"/>
      <c r="G165" s="4"/>
      <c r="H165" s="4"/>
      <c r="I165" s="4"/>
      <c r="J165" s="4"/>
      <c r="K165" s="4"/>
      <c r="L165" s="4"/>
      <c r="M165" s="80"/>
      <c r="N165" s="4"/>
      <c r="O165" s="80"/>
    </row>
    <row r="166" spans="3:15" x14ac:dyDescent="0.2">
      <c r="C166" s="4"/>
      <c r="D166" s="80"/>
      <c r="E166" s="4"/>
      <c r="F166" s="4"/>
      <c r="G166" s="4"/>
      <c r="H166" s="4"/>
      <c r="I166" s="4"/>
      <c r="J166" s="4"/>
      <c r="K166" s="4"/>
      <c r="L166" s="4"/>
      <c r="M166" s="80"/>
      <c r="N166" s="4"/>
      <c r="O166" s="80"/>
    </row>
    <row r="167" spans="3:15" x14ac:dyDescent="0.2">
      <c r="C167" s="4"/>
      <c r="D167" s="80"/>
      <c r="E167" s="4"/>
      <c r="F167" s="4"/>
      <c r="G167" s="4"/>
      <c r="H167" s="4"/>
      <c r="I167" s="4"/>
      <c r="J167" s="4"/>
      <c r="K167" s="4"/>
      <c r="L167" s="4"/>
      <c r="M167" s="80"/>
      <c r="N167" s="4"/>
      <c r="O167" s="80"/>
    </row>
    <row r="168" spans="3:15" x14ac:dyDescent="0.2">
      <c r="C168" s="4"/>
      <c r="D168" s="80"/>
      <c r="E168" s="4"/>
      <c r="F168" s="4"/>
      <c r="G168" s="4"/>
      <c r="H168" s="4"/>
      <c r="I168" s="4"/>
      <c r="J168" s="4"/>
      <c r="K168" s="4"/>
      <c r="L168" s="4"/>
      <c r="M168" s="80"/>
      <c r="N168" s="4"/>
      <c r="O168" s="80"/>
    </row>
    <row r="169" spans="3:15" x14ac:dyDescent="0.2">
      <c r="C169" s="4"/>
      <c r="D169" s="80"/>
      <c r="E169" s="4"/>
      <c r="F169" s="4"/>
      <c r="G169" s="4"/>
      <c r="H169" s="4"/>
      <c r="I169" s="4"/>
      <c r="J169" s="4"/>
      <c r="K169" s="4"/>
      <c r="L169" s="4"/>
      <c r="M169" s="80"/>
      <c r="N169" s="4"/>
      <c r="O169" s="80"/>
    </row>
    <row r="170" spans="3:15" x14ac:dyDescent="0.2">
      <c r="C170" s="4"/>
      <c r="D170" s="80"/>
      <c r="E170" s="4"/>
      <c r="F170" s="4"/>
      <c r="G170" s="4"/>
      <c r="H170" s="4"/>
      <c r="I170" s="4"/>
      <c r="J170" s="4"/>
      <c r="K170" s="4"/>
      <c r="L170" s="4"/>
      <c r="M170" s="80"/>
      <c r="N170" s="4"/>
      <c r="O170" s="80"/>
    </row>
    <row r="171" spans="3:15" x14ac:dyDescent="0.2">
      <c r="C171" s="4"/>
      <c r="D171" s="80"/>
      <c r="E171" s="4"/>
      <c r="F171" s="4"/>
      <c r="G171" s="4"/>
      <c r="H171" s="4"/>
      <c r="I171" s="4"/>
      <c r="J171" s="4"/>
      <c r="K171" s="4"/>
      <c r="L171" s="4"/>
      <c r="M171" s="80"/>
      <c r="N171" s="4"/>
      <c r="O171" s="80"/>
    </row>
    <row r="172" spans="3:15" x14ac:dyDescent="0.2">
      <c r="C172" s="4"/>
      <c r="D172" s="80"/>
      <c r="E172" s="4"/>
      <c r="F172" s="4"/>
      <c r="G172" s="4"/>
      <c r="H172" s="4"/>
      <c r="I172" s="4"/>
      <c r="J172" s="4"/>
      <c r="K172" s="4"/>
      <c r="L172" s="4"/>
      <c r="M172" s="80"/>
      <c r="N172" s="4"/>
      <c r="O172" s="80"/>
    </row>
    <row r="173" spans="3:15" x14ac:dyDescent="0.2">
      <c r="C173" s="4"/>
      <c r="D173" s="80"/>
      <c r="E173" s="4"/>
      <c r="F173" s="4"/>
      <c r="G173" s="4"/>
      <c r="H173" s="4"/>
      <c r="I173" s="4"/>
      <c r="J173" s="4"/>
      <c r="K173" s="4"/>
      <c r="L173" s="4"/>
      <c r="M173" s="80"/>
      <c r="N173" s="4"/>
      <c r="O173" s="80"/>
    </row>
    <row r="174" spans="3:15" x14ac:dyDescent="0.2">
      <c r="C174" s="4"/>
      <c r="D174" s="80"/>
      <c r="E174" s="4"/>
      <c r="F174" s="4"/>
      <c r="G174" s="4"/>
      <c r="H174" s="4"/>
      <c r="I174" s="4"/>
      <c r="J174" s="4"/>
      <c r="K174" s="4"/>
      <c r="L174" s="4"/>
      <c r="M174" s="80"/>
      <c r="N174" s="4"/>
      <c r="O174" s="80"/>
    </row>
    <row r="175" spans="3:15" x14ac:dyDescent="0.2">
      <c r="C175" s="4"/>
      <c r="D175" s="80"/>
      <c r="E175" s="4"/>
      <c r="F175" s="4"/>
      <c r="G175" s="4"/>
      <c r="H175" s="4"/>
      <c r="I175" s="4"/>
      <c r="J175" s="4"/>
      <c r="K175" s="4"/>
      <c r="L175" s="4"/>
      <c r="M175" s="80"/>
      <c r="N175" s="4"/>
      <c r="O175" s="80"/>
    </row>
    <row r="176" spans="3:15" x14ac:dyDescent="0.2">
      <c r="C176" s="4"/>
      <c r="D176" s="80"/>
      <c r="E176" s="4"/>
      <c r="F176" s="4"/>
      <c r="G176" s="4"/>
      <c r="H176" s="4"/>
      <c r="I176" s="4"/>
      <c r="J176" s="4"/>
      <c r="K176" s="4"/>
      <c r="L176" s="4"/>
      <c r="M176" s="80"/>
      <c r="N176" s="4"/>
      <c r="O176" s="80"/>
    </row>
    <row r="177" spans="3:15" x14ac:dyDescent="0.2">
      <c r="C177" s="4"/>
      <c r="D177" s="80"/>
      <c r="E177" s="4"/>
      <c r="F177" s="4"/>
      <c r="G177" s="4"/>
      <c r="H177" s="4"/>
      <c r="I177" s="4"/>
      <c r="J177" s="4"/>
      <c r="K177" s="4"/>
      <c r="L177" s="4"/>
      <c r="M177" s="80"/>
      <c r="N177" s="4"/>
      <c r="O177" s="80"/>
    </row>
    <row r="178" spans="3:15" x14ac:dyDescent="0.2">
      <c r="C178" s="4"/>
      <c r="D178" s="80"/>
      <c r="E178" s="4"/>
      <c r="F178" s="4"/>
      <c r="G178" s="4"/>
      <c r="H178" s="4"/>
      <c r="I178" s="4"/>
      <c r="J178" s="4"/>
      <c r="K178" s="4"/>
      <c r="L178" s="4"/>
      <c r="M178" s="80"/>
      <c r="N178" s="4"/>
      <c r="O178" s="80"/>
    </row>
    <row r="179" spans="3:15" x14ac:dyDescent="0.2">
      <c r="C179" s="4"/>
      <c r="D179" s="80"/>
      <c r="E179" s="4"/>
      <c r="F179" s="4"/>
      <c r="G179" s="4"/>
      <c r="H179" s="4"/>
      <c r="I179" s="4"/>
      <c r="J179" s="4"/>
      <c r="K179" s="4"/>
      <c r="L179" s="4"/>
      <c r="M179" s="80"/>
      <c r="N179" s="4"/>
      <c r="O179" s="80"/>
    </row>
    <row r="180" spans="3:15" x14ac:dyDescent="0.2">
      <c r="C180" s="4"/>
      <c r="D180" s="80"/>
      <c r="E180" s="4"/>
      <c r="F180" s="4"/>
      <c r="G180" s="4"/>
      <c r="H180" s="4"/>
      <c r="I180" s="4"/>
      <c r="J180" s="4"/>
      <c r="K180" s="4"/>
      <c r="L180" s="4"/>
      <c r="M180" s="80"/>
      <c r="N180" s="4"/>
      <c r="O180" s="80"/>
    </row>
    <row r="181" spans="3:15" x14ac:dyDescent="0.2">
      <c r="C181" s="4"/>
      <c r="D181" s="80"/>
      <c r="E181" s="4"/>
      <c r="F181" s="4"/>
      <c r="G181" s="4"/>
      <c r="H181" s="4"/>
      <c r="I181" s="4"/>
      <c r="J181" s="4"/>
      <c r="K181" s="4"/>
      <c r="L181" s="4"/>
      <c r="M181" s="80"/>
      <c r="N181" s="4"/>
      <c r="O181" s="80"/>
    </row>
    <row r="182" spans="3:15" x14ac:dyDescent="0.2">
      <c r="C182" s="4"/>
      <c r="D182" s="80"/>
      <c r="E182" s="4"/>
      <c r="F182" s="4"/>
      <c r="G182" s="4"/>
      <c r="H182" s="4"/>
      <c r="I182" s="4"/>
      <c r="J182" s="4"/>
      <c r="K182" s="4"/>
      <c r="L182" s="4"/>
      <c r="M182" s="80"/>
      <c r="N182" s="4"/>
      <c r="O182" s="80"/>
    </row>
    <row r="183" spans="3:15" x14ac:dyDescent="0.2">
      <c r="C183" s="4"/>
      <c r="D183" s="80"/>
      <c r="E183" s="4"/>
      <c r="F183" s="4"/>
      <c r="G183" s="4"/>
      <c r="H183" s="4"/>
      <c r="I183" s="4"/>
      <c r="J183" s="4"/>
      <c r="K183" s="4"/>
      <c r="L183" s="4"/>
      <c r="M183" s="80"/>
      <c r="N183" s="4"/>
      <c r="O183" s="80"/>
    </row>
    <row r="184" spans="3:15" x14ac:dyDescent="0.2">
      <c r="C184" s="4"/>
      <c r="D184" s="80"/>
      <c r="E184" s="4"/>
      <c r="F184" s="4"/>
      <c r="G184" s="4"/>
      <c r="H184" s="4"/>
      <c r="I184" s="4"/>
      <c r="J184" s="4"/>
      <c r="K184" s="4"/>
      <c r="L184" s="4"/>
      <c r="M184" s="80"/>
      <c r="N184" s="4"/>
      <c r="O184" s="80"/>
    </row>
    <row r="185" spans="3:15" x14ac:dyDescent="0.2">
      <c r="C185" s="4"/>
      <c r="D185" s="80"/>
      <c r="E185" s="4"/>
      <c r="F185" s="4"/>
      <c r="G185" s="4"/>
      <c r="H185" s="4"/>
      <c r="I185" s="4"/>
      <c r="J185" s="4"/>
      <c r="K185" s="4"/>
      <c r="L185" s="4"/>
      <c r="M185" s="80"/>
      <c r="N185" s="4"/>
      <c r="O185" s="80"/>
    </row>
    <row r="186" spans="3:15" x14ac:dyDescent="0.2">
      <c r="C186" s="4"/>
      <c r="D186" s="80"/>
      <c r="E186" s="4"/>
      <c r="F186" s="4"/>
      <c r="G186" s="4"/>
      <c r="H186" s="4"/>
      <c r="I186" s="4"/>
      <c r="J186" s="4"/>
      <c r="K186" s="4"/>
      <c r="L186" s="4"/>
      <c r="M186" s="80"/>
      <c r="N186" s="4"/>
      <c r="O186" s="80"/>
    </row>
    <row r="187" spans="3:15" x14ac:dyDescent="0.2">
      <c r="C187" s="4"/>
      <c r="D187" s="80"/>
      <c r="E187" s="4"/>
      <c r="F187" s="4"/>
      <c r="G187" s="4"/>
      <c r="H187" s="4"/>
      <c r="I187" s="4"/>
      <c r="J187" s="4"/>
      <c r="K187" s="4"/>
      <c r="L187" s="4"/>
      <c r="M187" s="80"/>
      <c r="N187" s="4"/>
      <c r="O187" s="80"/>
    </row>
    <row r="188" spans="3:15" x14ac:dyDescent="0.2">
      <c r="C188" s="4"/>
      <c r="D188" s="80"/>
      <c r="E188" s="4"/>
      <c r="F188" s="4"/>
      <c r="G188" s="4"/>
      <c r="H188" s="4"/>
      <c r="I188" s="4"/>
      <c r="J188" s="4"/>
      <c r="K188" s="4"/>
      <c r="L188" s="4"/>
      <c r="M188" s="80"/>
      <c r="N188" s="4"/>
      <c r="O188" s="80"/>
    </row>
    <row r="189" spans="3:15" x14ac:dyDescent="0.2">
      <c r="C189" s="4"/>
      <c r="D189" s="80"/>
      <c r="E189" s="4"/>
      <c r="F189" s="4"/>
      <c r="G189" s="4"/>
      <c r="H189" s="4"/>
      <c r="I189" s="4"/>
      <c r="J189" s="4"/>
      <c r="K189" s="4"/>
      <c r="L189" s="4"/>
      <c r="M189" s="80"/>
      <c r="N189" s="4"/>
      <c r="O189" s="80"/>
    </row>
    <row r="190" spans="3:15" x14ac:dyDescent="0.2">
      <c r="C190" s="4"/>
      <c r="D190" s="80"/>
      <c r="E190" s="4"/>
      <c r="F190" s="4"/>
      <c r="G190" s="4"/>
      <c r="H190" s="4"/>
      <c r="I190" s="4"/>
      <c r="J190" s="4"/>
      <c r="K190" s="4"/>
      <c r="L190" s="4"/>
      <c r="M190" s="80"/>
      <c r="N190" s="4"/>
      <c r="O190" s="80"/>
    </row>
    <row r="191" spans="3:15" x14ac:dyDescent="0.2">
      <c r="C191" s="4"/>
      <c r="D191" s="80"/>
      <c r="E191" s="4"/>
      <c r="F191" s="4"/>
      <c r="G191" s="4"/>
      <c r="H191" s="4"/>
      <c r="I191" s="4"/>
      <c r="J191" s="4"/>
      <c r="K191" s="4"/>
      <c r="L191" s="4"/>
      <c r="M191" s="80"/>
      <c r="N191" s="4"/>
      <c r="O191" s="80"/>
    </row>
    <row r="192" spans="3:15" x14ac:dyDescent="0.2">
      <c r="C192" s="4"/>
      <c r="D192" s="80"/>
      <c r="E192" s="4"/>
      <c r="F192" s="4"/>
      <c r="G192" s="4"/>
      <c r="H192" s="4"/>
      <c r="I192" s="4"/>
      <c r="J192" s="4"/>
      <c r="K192" s="4"/>
      <c r="L192" s="4"/>
      <c r="M192" s="80"/>
      <c r="N192" s="4"/>
      <c r="O192" s="80"/>
    </row>
    <row r="193" spans="3:15" x14ac:dyDescent="0.2">
      <c r="C193" s="4"/>
      <c r="D193" s="80"/>
      <c r="E193" s="4"/>
      <c r="F193" s="4"/>
      <c r="G193" s="4"/>
      <c r="H193" s="4"/>
      <c r="I193" s="4"/>
      <c r="J193" s="4"/>
      <c r="K193" s="4"/>
      <c r="L193" s="4"/>
      <c r="M193" s="80"/>
      <c r="N193" s="4"/>
      <c r="O193" s="80"/>
    </row>
    <row r="194" spans="3:15" x14ac:dyDescent="0.2">
      <c r="C194" s="4"/>
      <c r="D194" s="80"/>
      <c r="E194" s="4"/>
      <c r="F194" s="4"/>
      <c r="G194" s="4"/>
      <c r="H194" s="4"/>
      <c r="I194" s="4"/>
      <c r="J194" s="4"/>
      <c r="K194" s="4"/>
      <c r="L194" s="4"/>
      <c r="M194" s="80"/>
      <c r="N194" s="4"/>
      <c r="O194" s="80"/>
    </row>
    <row r="195" spans="3:15" x14ac:dyDescent="0.2">
      <c r="C195" s="4"/>
      <c r="D195" s="80"/>
      <c r="E195" s="4"/>
      <c r="F195" s="4"/>
      <c r="G195" s="4"/>
      <c r="H195" s="4"/>
      <c r="I195" s="4"/>
      <c r="J195" s="4"/>
      <c r="K195" s="4"/>
      <c r="L195" s="4"/>
      <c r="M195" s="80"/>
      <c r="N195" s="4"/>
      <c r="O195" s="80"/>
    </row>
    <row r="196" spans="3:15" x14ac:dyDescent="0.2">
      <c r="C196" s="4"/>
      <c r="D196" s="80"/>
      <c r="E196" s="4"/>
      <c r="F196" s="4"/>
      <c r="G196" s="4"/>
      <c r="H196" s="4"/>
      <c r="I196" s="4"/>
      <c r="J196" s="4"/>
      <c r="K196" s="4"/>
      <c r="L196" s="4"/>
      <c r="M196" s="80"/>
      <c r="N196" s="4"/>
      <c r="O196" s="80"/>
    </row>
    <row r="197" spans="3:15" x14ac:dyDescent="0.2">
      <c r="C197" s="4"/>
      <c r="D197" s="80"/>
      <c r="E197" s="4"/>
      <c r="F197" s="4"/>
      <c r="G197" s="4"/>
      <c r="H197" s="4"/>
      <c r="I197" s="4"/>
      <c r="J197" s="4"/>
      <c r="K197" s="4"/>
      <c r="L197" s="4"/>
      <c r="M197" s="80"/>
      <c r="N197" s="4"/>
      <c r="O197" s="80"/>
    </row>
    <row r="198" spans="3:15" x14ac:dyDescent="0.2">
      <c r="C198" s="4"/>
      <c r="D198" s="80"/>
      <c r="E198" s="4"/>
      <c r="F198" s="4"/>
      <c r="G198" s="4"/>
      <c r="H198" s="4"/>
      <c r="I198" s="4"/>
      <c r="J198" s="4"/>
      <c r="K198" s="4"/>
      <c r="L198" s="4"/>
      <c r="M198" s="80"/>
      <c r="N198" s="4"/>
      <c r="O198" s="80"/>
    </row>
    <row r="199" spans="3:15" x14ac:dyDescent="0.2">
      <c r="C199" s="4"/>
      <c r="D199" s="80"/>
      <c r="E199" s="4"/>
      <c r="F199" s="4"/>
      <c r="G199" s="4"/>
      <c r="H199" s="4"/>
      <c r="I199" s="4"/>
      <c r="J199" s="4"/>
      <c r="K199" s="4"/>
      <c r="L199" s="4"/>
      <c r="M199" s="80"/>
      <c r="N199" s="4"/>
      <c r="O199" s="80"/>
    </row>
    <row r="200" spans="3:15" x14ac:dyDescent="0.2">
      <c r="C200" s="4"/>
      <c r="D200" s="80"/>
      <c r="E200" s="4"/>
      <c r="F200" s="4"/>
      <c r="G200" s="4"/>
      <c r="H200" s="4"/>
      <c r="I200" s="4"/>
      <c r="J200" s="4"/>
      <c r="K200" s="4"/>
      <c r="L200" s="4"/>
      <c r="M200" s="80"/>
      <c r="N200" s="4"/>
      <c r="O200" s="80"/>
    </row>
    <row r="201" spans="3:15" x14ac:dyDescent="0.2">
      <c r="C201" s="4"/>
      <c r="D201" s="80"/>
      <c r="E201" s="4"/>
      <c r="F201" s="4"/>
      <c r="G201" s="4"/>
      <c r="H201" s="4"/>
      <c r="I201" s="4"/>
      <c r="J201" s="4"/>
      <c r="K201" s="4"/>
      <c r="L201" s="4"/>
      <c r="M201" s="80"/>
      <c r="N201" s="4"/>
      <c r="O201" s="80"/>
    </row>
    <row r="202" spans="3:15" x14ac:dyDescent="0.2">
      <c r="C202" s="4"/>
      <c r="D202" s="80"/>
      <c r="E202" s="4"/>
      <c r="F202" s="4"/>
      <c r="G202" s="4"/>
      <c r="H202" s="4"/>
      <c r="I202" s="4"/>
      <c r="J202" s="4"/>
      <c r="K202" s="4"/>
      <c r="L202" s="4"/>
      <c r="M202" s="80"/>
      <c r="N202" s="4"/>
      <c r="O202" s="80"/>
    </row>
    <row r="203" spans="3:15" x14ac:dyDescent="0.2">
      <c r="C203" s="4"/>
      <c r="D203" s="80"/>
      <c r="E203" s="4"/>
      <c r="F203" s="4"/>
      <c r="G203" s="4"/>
      <c r="H203" s="4"/>
      <c r="I203" s="4"/>
      <c r="J203" s="4"/>
      <c r="K203" s="4"/>
      <c r="L203" s="4"/>
      <c r="M203" s="80"/>
      <c r="N203" s="4"/>
      <c r="O203" s="80"/>
    </row>
    <row r="204" spans="3:15" x14ac:dyDescent="0.2">
      <c r="C204" s="4"/>
      <c r="D204" s="80"/>
      <c r="E204" s="4"/>
      <c r="F204" s="4"/>
      <c r="G204" s="4"/>
      <c r="H204" s="4"/>
      <c r="I204" s="4"/>
      <c r="J204" s="4"/>
      <c r="K204" s="4"/>
      <c r="L204" s="4"/>
      <c r="M204" s="80"/>
      <c r="N204" s="4"/>
      <c r="O204" s="80"/>
    </row>
    <row r="205" spans="3:15" x14ac:dyDescent="0.2">
      <c r="C205" s="4"/>
      <c r="D205" s="80"/>
      <c r="E205" s="4"/>
      <c r="F205" s="4"/>
      <c r="G205" s="4"/>
      <c r="H205" s="4"/>
      <c r="I205" s="4"/>
      <c r="J205" s="4"/>
      <c r="K205" s="4"/>
      <c r="L205" s="4"/>
      <c r="M205" s="80"/>
      <c r="N205" s="4"/>
      <c r="O205" s="80"/>
    </row>
    <row r="206" spans="3:15" x14ac:dyDescent="0.2">
      <c r="C206" s="4"/>
      <c r="D206" s="80"/>
      <c r="E206" s="4"/>
      <c r="F206" s="4"/>
      <c r="G206" s="4"/>
      <c r="H206" s="4"/>
      <c r="I206" s="4"/>
      <c r="J206" s="4"/>
      <c r="K206" s="4"/>
      <c r="L206" s="4"/>
      <c r="M206" s="80"/>
      <c r="N206" s="4"/>
      <c r="O206" s="80"/>
    </row>
    <row r="207" spans="3:15" x14ac:dyDescent="0.2">
      <c r="C207" s="4"/>
      <c r="D207" s="80"/>
      <c r="E207" s="4"/>
      <c r="F207" s="4"/>
      <c r="G207" s="4"/>
      <c r="H207" s="4"/>
      <c r="I207" s="4"/>
      <c r="J207" s="4"/>
      <c r="K207" s="4"/>
      <c r="L207" s="4"/>
      <c r="M207" s="80"/>
      <c r="N207" s="4"/>
      <c r="O207" s="80"/>
    </row>
    <row r="208" spans="3:15" x14ac:dyDescent="0.2">
      <c r="C208" s="4"/>
      <c r="D208" s="80"/>
      <c r="E208" s="4"/>
      <c r="F208" s="4"/>
      <c r="G208" s="4"/>
      <c r="H208" s="4"/>
      <c r="I208" s="4"/>
      <c r="J208" s="4"/>
      <c r="K208" s="4"/>
      <c r="L208" s="4"/>
      <c r="M208" s="80"/>
      <c r="N208" s="4"/>
      <c r="O208" s="80"/>
    </row>
    <row r="209" spans="3:15" x14ac:dyDescent="0.2">
      <c r="C209" s="4"/>
      <c r="D209" s="80"/>
      <c r="E209" s="4"/>
      <c r="F209" s="4"/>
      <c r="G209" s="4"/>
      <c r="H209" s="4"/>
      <c r="I209" s="4"/>
      <c r="J209" s="4"/>
      <c r="K209" s="4"/>
      <c r="L209" s="4"/>
      <c r="M209" s="80"/>
      <c r="N209" s="4"/>
      <c r="O209" s="80"/>
    </row>
    <row r="210" spans="3:15" x14ac:dyDescent="0.2">
      <c r="C210" s="4"/>
      <c r="D210" s="80"/>
      <c r="E210" s="4"/>
      <c r="F210" s="4"/>
      <c r="G210" s="4"/>
      <c r="H210" s="4"/>
      <c r="I210" s="4"/>
      <c r="J210" s="4"/>
      <c r="K210" s="4"/>
      <c r="L210" s="4"/>
      <c r="M210" s="80"/>
      <c r="N210" s="4"/>
      <c r="O210" s="80"/>
    </row>
    <row r="211" spans="3:15" x14ac:dyDescent="0.2">
      <c r="C211" s="4"/>
      <c r="D211" s="80"/>
      <c r="E211" s="4"/>
      <c r="F211" s="4"/>
      <c r="G211" s="4"/>
      <c r="H211" s="4"/>
      <c r="I211" s="4"/>
      <c r="J211" s="4"/>
      <c r="K211" s="4"/>
      <c r="L211" s="4"/>
      <c r="M211" s="80"/>
      <c r="N211" s="4"/>
      <c r="O211" s="80"/>
    </row>
    <row r="212" spans="3:15" x14ac:dyDescent="0.2">
      <c r="C212" s="4"/>
      <c r="D212" s="80"/>
      <c r="E212" s="4"/>
      <c r="F212" s="4"/>
      <c r="G212" s="4"/>
      <c r="H212" s="4"/>
      <c r="I212" s="4"/>
      <c r="J212" s="4"/>
      <c r="K212" s="4"/>
      <c r="L212" s="4"/>
      <c r="M212" s="80"/>
      <c r="N212" s="4"/>
      <c r="O212" s="80"/>
    </row>
  </sheetData>
  <conditionalFormatting sqref="C5:O56">
    <cfRule type="cellIs" dxfId="30" priority="3" operator="equal">
      <formula>25</formula>
    </cfRule>
  </conditionalFormatting>
  <conditionalFormatting sqref="C2:O3">
    <cfRule type="cellIs" dxfId="29" priority="1" operator="equal">
      <formula>25</formula>
    </cfRule>
  </conditionalFormatting>
  <pageMargins left="0.23622047244094491" right="0.23622047244094491" top="0.19685039370078741" bottom="0.39370078740157483" header="0.31496062992125984" footer="0.31496062992125984"/>
  <pageSetup paperSize="9" scale="70" fitToHeight="0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3:AC36"/>
  <sheetViews>
    <sheetView view="pageBreakPreview" zoomScale="105" zoomScaleNormal="85" zoomScaleSheetLayoutView="105" workbookViewId="0">
      <selection activeCell="C6" sqref="C6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470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1</v>
      </c>
      <c r="B6" s="3" t="str">
        <f>INSCRIPCIONES!E4</f>
        <v>Raul Alonso Saiz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2</v>
      </c>
      <c r="B7" s="3" t="str">
        <f>INSCRIPCIONES!E5</f>
        <v>Roberto Garcia Arnaiz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3</v>
      </c>
      <c r="B8" s="3" t="str">
        <f>INSCRIPCIONES!E6</f>
        <v>Mariano Pardo Gonzalez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4</v>
      </c>
      <c r="B9" s="3" t="str">
        <f>INSCRIPCIONES!E7</f>
        <v>Ramon Martinez Lopez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5</v>
      </c>
      <c r="B10" s="3" t="str">
        <f>INSCRIPCIONES!E8</f>
        <v>Antonio Saiz Antolin "FARRU"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6</v>
      </c>
      <c r="B11" s="11" t="str">
        <f>INSCRIPCIONES!E9</f>
        <v>Roberto Santamaria Alonso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470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1</v>
      </c>
      <c r="B26" s="3" t="str">
        <f>INSCRIPCIONES!E4</f>
        <v>Raul Alonso Saiz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2</v>
      </c>
      <c r="B27" s="3" t="str">
        <f>INSCRIPCIONES!E5</f>
        <v>Roberto Garcia Arnaiz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3</v>
      </c>
      <c r="B28" s="3" t="str">
        <f>INSCRIPCIONES!E6</f>
        <v>Mariano Pardo Gonzalez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4</v>
      </c>
      <c r="B29" s="3" t="str">
        <f>INSCRIPCIONES!E7</f>
        <v>Ramon Martinez Lopez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5</v>
      </c>
      <c r="B30" s="3" t="str">
        <f>INSCRIPCIONES!E8</f>
        <v>Antonio Saiz Antolin "FARRU"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6</v>
      </c>
      <c r="B31" s="11" t="str">
        <f>INSCRIPCIONES!E9</f>
        <v>Roberto Santamaria Alonso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475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7</v>
      </c>
      <c r="B6" s="3" t="str">
        <f>INSCRIPCIONES!E10</f>
        <v>Pascual Pacheco Pacheco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8</v>
      </c>
      <c r="B7" s="3" t="str">
        <f>INSCRIPCIONES!E11</f>
        <v>Julio Jimenez Alvarez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9</v>
      </c>
      <c r="B8" s="3" t="str">
        <f>INSCRIPCIONES!E12</f>
        <v xml:space="preserve">Gregorio Fuentes Manzano 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10</v>
      </c>
      <c r="B9" s="3" t="str">
        <f>INSCRIPCIONES!E13</f>
        <v>Jose Luis Medina Martinez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11</v>
      </c>
      <c r="B10" s="3" t="str">
        <f>INSCRIPCIONES!E14</f>
        <v>Josu Mendina Diz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12</v>
      </c>
      <c r="B11" s="3" t="str">
        <f>INSCRIPCIONES!E15</f>
        <v>Julian Ochoa Bartolome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475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7</v>
      </c>
      <c r="B26" s="3" t="str">
        <f>INSCRIPCIONES!E10</f>
        <v>Pascual Pacheco Pacheco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8</v>
      </c>
      <c r="B27" s="3" t="str">
        <f>INSCRIPCIONES!E11</f>
        <v>Julio Jimenez Alvarez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9</v>
      </c>
      <c r="B28" s="3" t="str">
        <f>INSCRIPCIONES!E12</f>
        <v xml:space="preserve">Gregorio Fuentes Manzano 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10</v>
      </c>
      <c r="B29" s="3" t="str">
        <f>INSCRIPCIONES!E13</f>
        <v>Jose Luis Medina Martinez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11</v>
      </c>
      <c r="B30" s="3" t="str">
        <f>INSCRIPCIONES!E14</f>
        <v>Josu Mendina Diz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12</v>
      </c>
      <c r="B31" s="3" t="str">
        <f>INSCRIPCIONES!E15</f>
        <v>Julian Ochoa Bartolome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476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13</v>
      </c>
      <c r="B6" s="3" t="str">
        <f>INSCRIPCIONES!E16</f>
        <v xml:space="preserve">Juan Jesus Andino Juarros 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14</v>
      </c>
      <c r="B7" s="3" t="str">
        <f>INSCRIPCIONES!E17</f>
        <v>Esteban Lopez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15</v>
      </c>
      <c r="B8" s="3" t="str">
        <f>INSCRIPCIONES!E18</f>
        <v>Enrique Ruiz Ruiz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16</v>
      </c>
      <c r="B9" s="3" t="str">
        <f>INSCRIPCIONES!E19</f>
        <v>Galder Garcia Astigarraga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17</v>
      </c>
      <c r="B10" s="3" t="str">
        <f>INSCRIPCIONES!E20</f>
        <v>Javier Echevarria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8">
        <v>18</v>
      </c>
      <c r="B11" s="3" t="str">
        <f>INSCRIPCIONES!E21</f>
        <v>Jose Luis Beitia Goicolea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476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13</v>
      </c>
      <c r="B26" s="3" t="str">
        <f>INSCRIPCIONES!E16</f>
        <v xml:space="preserve">Juan Jesus Andino Juarros 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14</v>
      </c>
      <c r="B27" s="3" t="str">
        <f>INSCRIPCIONES!E17</f>
        <v>Esteban Lopez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15</v>
      </c>
      <c r="B28" s="3" t="str">
        <f>INSCRIPCIONES!E18</f>
        <v>Enrique Ruiz Ruiz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16</v>
      </c>
      <c r="B29" s="3" t="str">
        <f>INSCRIPCIONES!E19</f>
        <v>Galder Garcia Astigarraga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17</v>
      </c>
      <c r="B30" s="3" t="str">
        <f>INSCRIPCIONES!E20</f>
        <v>Javier Echevarria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8">
        <v>18</v>
      </c>
      <c r="B31" s="3" t="str">
        <f>INSCRIPCIONES!E21</f>
        <v>Jose Luis Beitia Goicolea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3:AC36"/>
  <sheetViews>
    <sheetView view="pageBreakPreview" topLeftCell="A4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477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19</v>
      </c>
      <c r="B6" s="3" t="str">
        <f>INSCRIPCIONES!E22</f>
        <v>Jose Luis Miguel "BILLI"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20</v>
      </c>
      <c r="B7" s="3" t="str">
        <f>INSCRIPCIONES!E23</f>
        <v>Teodoro Sanz de Sebastian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21</v>
      </c>
      <c r="B8" s="3" t="str">
        <f>INSCRIPCIONES!E24</f>
        <v>Rufino Ruiz Orosa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22</v>
      </c>
      <c r="B9" s="3" t="str">
        <f>INSCRIPCIONES!E25</f>
        <v>Ricardo Rojo Gonzalez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23</v>
      </c>
      <c r="B10" s="3" t="str">
        <f>INSCRIPCIONES!E26</f>
        <v>Nicolas Velasco Perez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24</v>
      </c>
      <c r="B11" s="3" t="str">
        <f>INSCRIPCIONES!E27</f>
        <v>Javier de la Camara Izquierdo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477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19</v>
      </c>
      <c r="B26" s="3" t="str">
        <f>INSCRIPCIONES!E22</f>
        <v>Jose Luis Miguel "BILLI"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20</v>
      </c>
      <c r="B27" s="3" t="str">
        <f>INSCRIPCIONES!E23</f>
        <v>Teodoro Sanz de Sebastian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21</v>
      </c>
      <c r="B28" s="3" t="str">
        <f>INSCRIPCIONES!E24</f>
        <v>Rufino Ruiz Orosa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22</v>
      </c>
      <c r="B29" s="3" t="str">
        <f>INSCRIPCIONES!E25</f>
        <v>Ricardo Rojo Gonzalez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23</v>
      </c>
      <c r="B30" s="3" t="str">
        <f>INSCRIPCIONES!E26</f>
        <v>Nicolas Velasco Perez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24</v>
      </c>
      <c r="B31" s="3" t="str">
        <f>INSCRIPCIONES!E27</f>
        <v>Javier de la Camara Izquierdo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478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25</v>
      </c>
      <c r="B6" s="3" t="str">
        <f>INSCRIPCIONES!E28</f>
        <v>Angel Alfonso Asensio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26</v>
      </c>
      <c r="B7" s="3" t="str">
        <f>INSCRIPCIONES!E29</f>
        <v>Carlos Mari Perez Martin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27</v>
      </c>
      <c r="B8" s="3" t="str">
        <f>INSCRIPCIONES!E30</f>
        <v>Eusebio Barquin Herreria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28</v>
      </c>
      <c r="B9" s="3" t="str">
        <f>INSCRIPCIONES!E31</f>
        <v>Flor Rojo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29</v>
      </c>
      <c r="B10" s="3" t="str">
        <f>INSCRIPCIONES!E32</f>
        <v>Jose Herrera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30</v>
      </c>
      <c r="B11" s="3" t="str">
        <f>INSCRIPCIONES!E33</f>
        <v>Fernando Arribas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478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25</v>
      </c>
      <c r="B26" s="3" t="str">
        <f>INSCRIPCIONES!E28</f>
        <v>Angel Alfonso Asensio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26</v>
      </c>
      <c r="B27" s="3" t="str">
        <f>INSCRIPCIONES!E29</f>
        <v>Carlos Mari Perez Martin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27</v>
      </c>
      <c r="B28" s="3" t="str">
        <f>INSCRIPCIONES!E30</f>
        <v>Eusebio Barquin Herreria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28</v>
      </c>
      <c r="B29" s="3" t="str">
        <f>INSCRIPCIONES!E31</f>
        <v>Flor Rojo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29</v>
      </c>
      <c r="B30" s="3" t="str">
        <f>INSCRIPCIONES!E32</f>
        <v>Jose Herrera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30</v>
      </c>
      <c r="B31" s="3" t="str">
        <f>INSCRIPCIONES!E33</f>
        <v>Fernando Arribas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479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31</v>
      </c>
      <c r="B6" s="3" t="str">
        <f>INSCRIPCIONES!E34</f>
        <v>Fernando Gonzalez Peña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32</v>
      </c>
      <c r="B7" s="3" t="str">
        <f>INSCRIPCIONES!E35</f>
        <v>Jorge Juan Roman Garcia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33</v>
      </c>
      <c r="B8" s="3" t="str">
        <f>INSCRIPCIONES!E36</f>
        <v>Vidal Calvo Elena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34</v>
      </c>
      <c r="B9" s="3" t="str">
        <f>INSCRIPCIONES!E37</f>
        <v>Joaquin Santaeufemia Alevia -CAÑITA-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35</v>
      </c>
      <c r="B10" s="3" t="str">
        <f>INSCRIPCIONES!E38</f>
        <v>Arnulfo Rodriguez Torrego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36</v>
      </c>
      <c r="B11" s="3" t="str">
        <f>INSCRIPCIONES!E39</f>
        <v>Guillermo Blanco Garcia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479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31</v>
      </c>
      <c r="B26" s="3" t="str">
        <f>INSCRIPCIONES!E34</f>
        <v>Fernando Gonzalez Peña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32</v>
      </c>
      <c r="B27" s="3" t="str">
        <f>INSCRIPCIONES!E35</f>
        <v>Jorge Juan Roman Garcia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33</v>
      </c>
      <c r="B28" s="3" t="str">
        <f>INSCRIPCIONES!E36</f>
        <v>Vidal Calvo Elena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34</v>
      </c>
      <c r="B29" s="3" t="str">
        <f>INSCRIPCIONES!E37</f>
        <v>Joaquin Santaeufemia Alevia -CAÑITA-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35</v>
      </c>
      <c r="B30" s="3" t="str">
        <f>INSCRIPCIONES!E38</f>
        <v>Arnulfo Rodriguez Torrego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36</v>
      </c>
      <c r="B31" s="3" t="str">
        <f>INSCRIPCIONES!E39</f>
        <v>Guillermo Blanco Garcia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480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37</v>
      </c>
      <c r="B6" s="3" t="str">
        <f>INSCRIPCIONES!E40</f>
        <v>Ivan Salvador Gonzalez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38</v>
      </c>
      <c r="B7" s="3" t="str">
        <f>INSCRIPCIONES!E41</f>
        <v>Alejandro Gil Ortiz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39</v>
      </c>
      <c r="B8" s="3" t="str">
        <f>INSCRIPCIONES!E42</f>
        <v>Jairo Garcia Gil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40</v>
      </c>
      <c r="B9" s="3" t="str">
        <f>INSCRIPCIONES!E43</f>
        <v>Guillermo Velasco Gonzalez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41</v>
      </c>
      <c r="B10" s="3" t="str">
        <f>INSCRIPCIONES!E44</f>
        <v>Ivan Gonzalez Palacin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42</v>
      </c>
      <c r="B11" s="3" t="str">
        <f>INSCRIPCIONES!E45</f>
        <v>Arturo Ruiz Lopez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480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37</v>
      </c>
      <c r="B26" s="3" t="str">
        <f>INSCRIPCIONES!E40</f>
        <v>Ivan Salvador Gonzalez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38</v>
      </c>
      <c r="B27" s="3" t="str">
        <f>INSCRIPCIONES!E41</f>
        <v>Alejandro Gil Ortiz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39</v>
      </c>
      <c r="B28" s="3" t="str">
        <f>INSCRIPCIONES!E42</f>
        <v>Jairo Garcia Gil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40</v>
      </c>
      <c r="B29" s="3" t="str">
        <f>INSCRIPCIONES!E43</f>
        <v>Guillermo Velasco Gonzalez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41</v>
      </c>
      <c r="B30" s="3" t="str">
        <f>INSCRIPCIONES!E44</f>
        <v>Ivan Gonzalez Palacin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42</v>
      </c>
      <c r="B31" s="3" t="str">
        <f>INSCRIPCIONES!E45</f>
        <v>Arturo Ruiz Lopez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pageSetUpPr fitToPage="1"/>
  </sheetPr>
  <dimension ref="A3:AC36"/>
  <sheetViews>
    <sheetView view="pageBreakPreview" topLeftCell="A10" zoomScale="105" zoomScaleNormal="85" zoomScaleSheetLayoutView="105" workbookViewId="0">
      <selection activeCell="B26" sqref="B26:B31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481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43</v>
      </c>
      <c r="B6" s="3" t="str">
        <f>INSCRIPCIONES!E46</f>
        <v>Jorge Javier Garcia Perez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44</v>
      </c>
      <c r="B7" s="3" t="str">
        <f>INSCRIPCIONES!E47</f>
        <v>Jose Tomas Barrio Mayor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45</v>
      </c>
      <c r="B8" s="3" t="str">
        <f>INSCRIPCIONES!E48</f>
        <v>Luis Amo Fernandez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46</v>
      </c>
      <c r="B9" s="3" t="str">
        <f>INSCRIPCIONES!E49</f>
        <v>Maximo Ausin Ausin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47</v>
      </c>
      <c r="B10" s="3" t="str">
        <f>INSCRIPCIONES!E50</f>
        <v>Gregorio Noriega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48</v>
      </c>
      <c r="B11" s="3" t="str">
        <f>INSCRIPCIONES!E51</f>
        <v>Felipe Marina Gañan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481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43</v>
      </c>
      <c r="B26" s="3" t="str">
        <f>INSCRIPCIONES!E46</f>
        <v>Jorge Javier Garcia Perez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44</v>
      </c>
      <c r="B27" s="3" t="str">
        <f>INSCRIPCIONES!E47</f>
        <v>Jose Tomas Barrio Mayor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45</v>
      </c>
      <c r="B28" s="3" t="str">
        <f>INSCRIPCIONES!E48</f>
        <v>Luis Amo Fernandez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46</v>
      </c>
      <c r="B29" s="3" t="str">
        <f>INSCRIPCIONES!E49</f>
        <v>Maximo Ausin Ausin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47</v>
      </c>
      <c r="B30" s="3" t="str">
        <f>INSCRIPCIONES!E50</f>
        <v>Gregorio Noriega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48</v>
      </c>
      <c r="B31" s="3" t="str">
        <f>INSCRIPCIONES!E51</f>
        <v>Felipe Marina Gañan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algorithmName="SHA-512" hashValue="4osYfjLidlhk4JNxIyZPjbw8Ra7wT7+0AK84nT0Iu92uopNR5qSiPMN2MseKp++S8uj6qfLHA18m/jKk4aGnqg==" saltValue="na4X6qxUau4MQAi/2hnqXQ==" spinCount="100000"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pageSetUpPr fitToPage="1"/>
  </sheetPr>
  <dimension ref="A3:AC36"/>
  <sheetViews>
    <sheetView view="pageBreakPreview" topLeftCell="A4" zoomScale="105" zoomScaleNormal="85" zoomScaleSheetLayoutView="105" workbookViewId="0">
      <selection activeCell="B6" sqref="B6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482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49</v>
      </c>
      <c r="B6" s="3" t="str">
        <f>INSCRIPCIONES!E67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50</v>
      </c>
      <c r="B7" s="3" t="str">
        <f>INSCRIPCIONES!E68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51</v>
      </c>
      <c r="B8" s="3" t="str">
        <f>INSCRIPCIONES!E69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52</v>
      </c>
      <c r="B9" s="3" t="str">
        <f>INSCRIPCIONES!E70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53</v>
      </c>
      <c r="B10" s="3" t="str">
        <f>INSCRIPCIONES!E71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54</v>
      </c>
      <c r="B11" s="3" t="str">
        <f>INSCRIPCIONES!E72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482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49</v>
      </c>
      <c r="B26" s="3" t="str">
        <f>INSCRIPCIONES!E67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50</v>
      </c>
      <c r="B27" s="3" t="str">
        <f>INSCRIPCIONES!E68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51</v>
      </c>
      <c r="B28" s="3" t="str">
        <f>INSCRIPCIONES!E69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52</v>
      </c>
      <c r="B29" s="3" t="str">
        <f>INSCRIPCIONES!E70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53</v>
      </c>
      <c r="B30" s="3" t="str">
        <f>INSCRIPCIONES!E71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54</v>
      </c>
      <c r="B31" s="3" t="str">
        <f>INSCRIPCIONES!E72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483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55</v>
      </c>
      <c r="B6" s="3" t="str">
        <f>INSCRIPCIONES!E73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56</v>
      </c>
      <c r="B7" s="3" t="str">
        <f>INSCRIPCIONES!E74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57</v>
      </c>
      <c r="B8" s="3" t="str">
        <f>INSCRIPCIONES!E75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58</v>
      </c>
      <c r="B9" s="3" t="str">
        <f>INSCRIPCIONES!E76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59</v>
      </c>
      <c r="B10" s="3" t="str">
        <f>INSCRIPCIONES!E77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60</v>
      </c>
      <c r="B11" s="3" t="str">
        <f>INSCRIPCIONES!E78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483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55</v>
      </c>
      <c r="B26" s="3" t="str">
        <f>INSCRIPCIONES!E73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56</v>
      </c>
      <c r="B27" s="3" t="str">
        <f>INSCRIPCIONES!E74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57</v>
      </c>
      <c r="B28" s="3" t="str">
        <f>INSCRIPCIONES!E75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58</v>
      </c>
      <c r="B29" s="3" t="str">
        <f>INSCRIPCIONES!E76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59</v>
      </c>
      <c r="B30" s="3" t="str">
        <f>INSCRIPCIONES!E77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60</v>
      </c>
      <c r="B31" s="3" t="str">
        <f>INSCRIPCIONES!E78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484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61</v>
      </c>
      <c r="B6" s="3" t="str">
        <f>INSCRIPCIONES!E79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62</v>
      </c>
      <c r="B7" s="3" t="str">
        <f>INSCRIPCIONES!E80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63</v>
      </c>
      <c r="B8" s="3" t="str">
        <f>INSCRIPCIONES!E81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64</v>
      </c>
      <c r="B9" s="3" t="str">
        <f>INSCRIPCIONES!E82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65</v>
      </c>
      <c r="B10" s="3" t="str">
        <f>INSCRIPCIONES!E83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66</v>
      </c>
      <c r="B11" s="3" t="str">
        <f>INSCRIPCIONES!E84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484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61</v>
      </c>
      <c r="B26" s="3" t="str">
        <f>INSCRIPCIONES!E79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62</v>
      </c>
      <c r="B27" s="3" t="str">
        <f>INSCRIPCIONES!E80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63</v>
      </c>
      <c r="B28" s="3" t="str">
        <f>INSCRIPCIONES!E81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64</v>
      </c>
      <c r="B29" s="3" t="str">
        <f>INSCRIPCIONES!E82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65</v>
      </c>
      <c r="B30" s="3" t="str">
        <f>INSCRIPCIONES!E83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66</v>
      </c>
      <c r="B31" s="3" t="str">
        <f>INSCRIPCIONES!E84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485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67</v>
      </c>
      <c r="B6" s="3" t="str">
        <f>INSCRIPCIONES!E85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68</v>
      </c>
      <c r="B7" s="3" t="str">
        <f>INSCRIPCIONES!E86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69</v>
      </c>
      <c r="B8" s="3" t="str">
        <f>INSCRIPCIONES!E87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70</v>
      </c>
      <c r="B9" s="3" t="str">
        <f>INSCRIPCIONES!E88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71</v>
      </c>
      <c r="B10" s="3" t="str">
        <f>INSCRIPCIONES!E89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72</v>
      </c>
      <c r="B11" s="3" t="str">
        <f>INSCRIPCIONES!E90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485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67</v>
      </c>
      <c r="B26" s="3" t="str">
        <f>INSCRIPCIONES!E85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68</v>
      </c>
      <c r="B27" s="3" t="str">
        <f>INSCRIPCIONES!E86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69</v>
      </c>
      <c r="B28" s="3" t="str">
        <f>INSCRIPCIONES!E87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70</v>
      </c>
      <c r="B29" s="3" t="str">
        <f>INSCRIPCIONES!E88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71</v>
      </c>
      <c r="B30" s="3" t="str">
        <f>INSCRIPCIONES!E89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72</v>
      </c>
      <c r="B31" s="3" t="str">
        <f>INSCRIPCIONES!E90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486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73</v>
      </c>
      <c r="B6" s="3" t="str">
        <f>INSCRIPCIONES!E91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74</v>
      </c>
      <c r="B7" s="3" t="str">
        <f>INSCRIPCIONES!E92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75</v>
      </c>
      <c r="B8" s="3" t="str">
        <f>INSCRIPCIONES!E93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76</v>
      </c>
      <c r="B9" s="3" t="str">
        <f>INSCRIPCIONES!E94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77</v>
      </c>
      <c r="B10" s="3" t="str">
        <f>INSCRIPCIONES!E95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78</v>
      </c>
      <c r="B11" s="3" t="str">
        <f>INSCRIPCIONES!E96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486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73</v>
      </c>
      <c r="B26" s="3" t="str">
        <f>INSCRIPCIONES!E91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74</v>
      </c>
      <c r="B27" s="3" t="str">
        <f>INSCRIPCIONES!E92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75</v>
      </c>
      <c r="B28" s="3" t="str">
        <f>INSCRIPCIONES!E93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76</v>
      </c>
      <c r="B29" s="3" t="str">
        <f>INSCRIPCIONES!E94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77</v>
      </c>
      <c r="B30" s="3" t="str">
        <f>INSCRIPCIONES!E95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78</v>
      </c>
      <c r="B31" s="3" t="str">
        <f>INSCRIPCIONES!E96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487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79</v>
      </c>
      <c r="B6" s="3" t="str">
        <f>INSCRIPCIONES!E97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80</v>
      </c>
      <c r="B7" s="3" t="str">
        <f>INSCRIPCIONES!E98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81</v>
      </c>
      <c r="B8" s="3" t="str">
        <f>INSCRIPCIONES!E99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82</v>
      </c>
      <c r="B9" s="3" t="str">
        <f>INSCRIPCIONES!E100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83</v>
      </c>
      <c r="B10" s="3" t="str">
        <f>INSCRIPCIONES!E101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84</v>
      </c>
      <c r="B11" s="3" t="str">
        <f>INSCRIPCIONES!E102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487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79</v>
      </c>
      <c r="B26" s="3" t="str">
        <f>INSCRIPCIONES!E97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80</v>
      </c>
      <c r="B27" s="3" t="str">
        <f>INSCRIPCIONES!E98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81</v>
      </c>
      <c r="B28" s="3" t="str">
        <f>INSCRIPCIONES!E99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82</v>
      </c>
      <c r="B29" s="3" t="str">
        <f>INSCRIPCIONES!E100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83</v>
      </c>
      <c r="B30" s="3" t="str">
        <f>INSCRIPCIONES!E101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84</v>
      </c>
      <c r="B31" s="3" t="str">
        <f>INSCRIPCIONES!E102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488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85</v>
      </c>
      <c r="B6" s="3" t="str">
        <f>INSCRIPCIONES!E103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86</v>
      </c>
      <c r="B7" s="3" t="str">
        <f>INSCRIPCIONES!E104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87</v>
      </c>
      <c r="B8" s="3" t="str">
        <f>INSCRIPCIONES!E105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88</v>
      </c>
      <c r="B9" s="3" t="str">
        <f>INSCRIPCIONES!E106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89</v>
      </c>
      <c r="B10" s="3" t="str">
        <f>INSCRIPCIONES!E107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90</v>
      </c>
      <c r="B11" s="3" t="str">
        <f>INSCRIPCIONES!E108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488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85</v>
      </c>
      <c r="B26" s="3" t="str">
        <f>INSCRIPCIONES!E103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86</v>
      </c>
      <c r="B27" s="3" t="str">
        <f>INSCRIPCIONES!E104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87</v>
      </c>
      <c r="B28" s="3" t="str">
        <f>INSCRIPCIONES!E105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88</v>
      </c>
      <c r="B29" s="3" t="str">
        <f>INSCRIPCIONES!E106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89</v>
      </c>
      <c r="B30" s="3" t="str">
        <f>INSCRIPCIONES!E107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90</v>
      </c>
      <c r="B31" s="3" t="str">
        <f>INSCRIPCIONES!E108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489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91</v>
      </c>
      <c r="B6" s="3" t="str">
        <f>INSCRIPCIONES!E109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92</v>
      </c>
      <c r="B7" s="3" t="str">
        <f>INSCRIPCIONES!E110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93</v>
      </c>
      <c r="B8" s="3" t="str">
        <f>INSCRIPCIONES!E111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94</v>
      </c>
      <c r="B9" s="3" t="str">
        <f>INSCRIPCIONES!E112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95</v>
      </c>
      <c r="B10" s="3" t="str">
        <f>INSCRIPCIONES!E113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96</v>
      </c>
      <c r="B11" s="3" t="str">
        <f>INSCRIPCIONES!E114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489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91</v>
      </c>
      <c r="B26" s="3" t="str">
        <f>INSCRIPCIONES!E109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92</v>
      </c>
      <c r="B27" s="3" t="str">
        <f>INSCRIPCIONES!E110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93</v>
      </c>
      <c r="B28" s="3" t="str">
        <f>INSCRIPCIONES!E111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94</v>
      </c>
      <c r="B29" s="3" t="str">
        <f>INSCRIPCIONES!E112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95</v>
      </c>
      <c r="B30" s="3" t="str">
        <f>INSCRIPCIONES!E113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96</v>
      </c>
      <c r="B31" s="3" t="str">
        <f>INSCRIPCIONES!E114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490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97</v>
      </c>
      <c r="B6" s="3" t="str">
        <f>INSCRIPCIONES!E115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98</v>
      </c>
      <c r="B7" s="3" t="str">
        <f>INSCRIPCIONES!E116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99</v>
      </c>
      <c r="B8" s="3" t="str">
        <f>INSCRIPCIONES!E117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100</v>
      </c>
      <c r="B9" s="3" t="str">
        <f>INSCRIPCIONES!E118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101</v>
      </c>
      <c r="B10" s="3" t="str">
        <f>INSCRIPCIONES!E119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102</v>
      </c>
      <c r="B11" s="3" t="str">
        <f>INSCRIPCIONES!E120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490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97</v>
      </c>
      <c r="B26" s="3" t="str">
        <f>INSCRIPCIONES!E115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98</v>
      </c>
      <c r="B27" s="3" t="str">
        <f>INSCRIPCIONES!E116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99</v>
      </c>
      <c r="B28" s="3" t="str">
        <f>INSCRIPCIONES!E117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100</v>
      </c>
      <c r="B29" s="3" t="str">
        <f>INSCRIPCIONES!E118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101</v>
      </c>
      <c r="B30" s="3" t="str">
        <f>INSCRIPCIONES!E119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102</v>
      </c>
      <c r="B31" s="3" t="str">
        <f>INSCRIPCIONES!E120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491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103</v>
      </c>
      <c r="B6" s="3" t="str">
        <f>INSCRIPCIONES!E121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104</v>
      </c>
      <c r="B7" s="3" t="str">
        <f>INSCRIPCIONES!E122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105</v>
      </c>
      <c r="B8" s="3" t="str">
        <f>INSCRIPCIONES!E123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106</v>
      </c>
      <c r="B9" s="3" t="str">
        <f>INSCRIPCIONES!E124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107</v>
      </c>
      <c r="B10" s="3" t="str">
        <f>INSCRIPCIONES!E125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108</v>
      </c>
      <c r="B11" s="3" t="str">
        <f>INSCRIPCIONES!E126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491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103</v>
      </c>
      <c r="B26" s="3" t="str">
        <f>INSCRIPCIONES!E121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104</v>
      </c>
      <c r="B27" s="3" t="str">
        <f>INSCRIPCIONES!E122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105</v>
      </c>
      <c r="B28" s="3" t="str">
        <f>INSCRIPCIONES!E123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106</v>
      </c>
      <c r="B29" s="3" t="str">
        <f>INSCRIPCIONES!E124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107</v>
      </c>
      <c r="B30" s="3" t="str">
        <f>INSCRIPCIONES!E125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108</v>
      </c>
      <c r="B31" s="3" t="str">
        <f>INSCRIPCIONES!E126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492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109</v>
      </c>
      <c r="B6" s="3" t="str">
        <f>INSCRIPCIONES!E127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110</v>
      </c>
      <c r="B7" s="3" t="str">
        <f>INSCRIPCIONES!E128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111</v>
      </c>
      <c r="B8" s="3" t="str">
        <f>INSCRIPCIONES!E129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112</v>
      </c>
      <c r="B9" s="3" t="str">
        <f>INSCRIPCIONES!E130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113</v>
      </c>
      <c r="B10" s="3" t="str">
        <f>INSCRIPCIONES!E131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114</v>
      </c>
      <c r="B11" s="3" t="str">
        <f>INSCRIPCIONES!E132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492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109</v>
      </c>
      <c r="B26" s="3" t="str">
        <f>INSCRIPCIONES!E127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110</v>
      </c>
      <c r="B27" s="3" t="str">
        <f>INSCRIPCIONES!E128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111</v>
      </c>
      <c r="B28" s="3" t="str">
        <f>INSCRIPCIONES!E129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112</v>
      </c>
      <c r="B29" s="3" t="str">
        <f>INSCRIPCIONES!E130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113</v>
      </c>
      <c r="B30" s="3" t="str">
        <f>INSCRIPCIONES!E131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114</v>
      </c>
      <c r="B31" s="3" t="str">
        <f>INSCRIPCIONES!E132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>
    <pageSetUpPr fitToPage="1"/>
  </sheetPr>
  <dimension ref="A3:AC36"/>
  <sheetViews>
    <sheetView view="pageBreakPreview" topLeftCell="A4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493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115</v>
      </c>
      <c r="B6" s="3" t="str">
        <f>INSCRIPCIONES!E133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116</v>
      </c>
      <c r="B7" s="3" t="str">
        <f>INSCRIPCIONES!E134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117</v>
      </c>
      <c r="B8" s="3" t="str">
        <f>INSCRIPCIONES!E135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118</v>
      </c>
      <c r="B9" s="3" t="str">
        <f>INSCRIPCIONES!E136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119</v>
      </c>
      <c r="B10" s="3" t="str">
        <f>INSCRIPCIONES!E137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120</v>
      </c>
      <c r="B11" s="3" t="str">
        <f>INSCRIPCIONES!E138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493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115</v>
      </c>
      <c r="B26" s="3" t="str">
        <f>INSCRIPCIONES!E133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116</v>
      </c>
      <c r="B27" s="3" t="str">
        <f>INSCRIPCIONES!E134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117</v>
      </c>
      <c r="B28" s="3" t="str">
        <f>INSCRIPCIONES!E135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118</v>
      </c>
      <c r="B29" s="3" t="str">
        <f>INSCRIPCIONES!E136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119</v>
      </c>
      <c r="B30" s="3" t="str">
        <f>INSCRIPCIONES!E137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120</v>
      </c>
      <c r="B31" s="3" t="str">
        <f>INSCRIPCIONES!E138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pageSetUpPr fitToPage="1"/>
  </sheetPr>
  <dimension ref="A3:AC36"/>
  <sheetViews>
    <sheetView view="pageBreakPreview" zoomScale="105" zoomScaleNormal="85" zoomScaleSheetLayoutView="105" workbookViewId="0">
      <selection activeCell="B15" sqref="B15"/>
    </sheetView>
  </sheetViews>
  <sheetFormatPr baseColWidth="10" defaultColWidth="11.42578125" defaultRowHeight="12.75" x14ac:dyDescent="0.2"/>
  <cols>
    <col min="1" max="1" width="6.28515625" style="4" customWidth="1"/>
    <col min="2" max="2" width="40.140625" customWidth="1"/>
    <col min="3" max="27" width="3.7109375" customWidth="1"/>
  </cols>
  <sheetData>
    <row r="3" spans="1:28" x14ac:dyDescent="0.2">
      <c r="B3" t="s">
        <v>494</v>
      </c>
      <c r="D3" t="s">
        <v>471</v>
      </c>
      <c r="M3" t="s">
        <v>472</v>
      </c>
    </row>
    <row r="5" spans="1:28" s="2" customFormat="1" ht="23.25" customHeight="1" x14ac:dyDescent="0.2">
      <c r="A5" s="5" t="s">
        <v>473</v>
      </c>
      <c r="B5" s="6" t="s">
        <v>113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7</v>
      </c>
      <c r="J5" s="6">
        <v>8</v>
      </c>
      <c r="K5" s="6">
        <v>9</v>
      </c>
      <c r="L5" s="6">
        <v>10</v>
      </c>
      <c r="M5" s="6">
        <v>11</v>
      </c>
      <c r="N5" s="6">
        <v>12</v>
      </c>
      <c r="O5" s="6">
        <v>13</v>
      </c>
      <c r="P5" s="6">
        <v>14</v>
      </c>
      <c r="Q5" s="6">
        <v>15</v>
      </c>
      <c r="R5" s="6">
        <v>16</v>
      </c>
      <c r="S5" s="6">
        <v>17</v>
      </c>
      <c r="T5" s="6">
        <v>18</v>
      </c>
      <c r="U5" s="6">
        <v>19</v>
      </c>
      <c r="V5" s="6">
        <v>20</v>
      </c>
      <c r="W5" s="6">
        <v>21</v>
      </c>
      <c r="X5" s="6">
        <v>22</v>
      </c>
      <c r="Y5" s="6">
        <v>23</v>
      </c>
      <c r="Z5" s="6">
        <v>24</v>
      </c>
      <c r="AA5" s="6">
        <v>25</v>
      </c>
      <c r="AB5" s="7" t="s">
        <v>422</v>
      </c>
    </row>
    <row r="6" spans="1:28" ht="23.25" customHeight="1" x14ac:dyDescent="0.2">
      <c r="A6" s="8">
        <v>121</v>
      </c>
      <c r="B6" s="3" t="str">
        <f>INSCRIPCIONES!E139</f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9"/>
    </row>
    <row r="7" spans="1:28" ht="23.25" customHeight="1" x14ac:dyDescent="0.2">
      <c r="A7" s="8">
        <v>122</v>
      </c>
      <c r="B7" s="3" t="str">
        <f>INSCRIPCIONES!E140</f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9"/>
    </row>
    <row r="8" spans="1:28" ht="23.25" customHeight="1" x14ac:dyDescent="0.2">
      <c r="A8" s="8">
        <v>123</v>
      </c>
      <c r="B8" s="3" t="str">
        <f>INSCRIPCIONES!E141</f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9"/>
    </row>
    <row r="9" spans="1:28" ht="23.25" customHeight="1" x14ac:dyDescent="0.2">
      <c r="A9" s="8">
        <v>124</v>
      </c>
      <c r="B9" s="3" t="str">
        <f>INSCRIPCIONES!E142</f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9"/>
    </row>
    <row r="10" spans="1:28" ht="23.25" customHeight="1" x14ac:dyDescent="0.2">
      <c r="A10" s="8">
        <v>125</v>
      </c>
      <c r="B10" s="3" t="str">
        <f>INSCRIPCIONES!E143</f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9"/>
    </row>
    <row r="11" spans="1:28" ht="23.25" customHeight="1" x14ac:dyDescent="0.2">
      <c r="A11" s="10">
        <v>126</v>
      </c>
      <c r="B11" s="3" t="str">
        <f>INSCRIPCIONES!E144</f>
        <v/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2"/>
    </row>
    <row r="12" spans="1:28" ht="23.25" customHeight="1" x14ac:dyDescent="0.2"/>
    <row r="13" spans="1:28" ht="23.25" customHeight="1" x14ac:dyDescent="0.2"/>
    <row r="16" spans="1:28" x14ac:dyDescent="0.2">
      <c r="B16" t="s">
        <v>474</v>
      </c>
    </row>
    <row r="19" spans="1:29" x14ac:dyDescent="0.2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</row>
    <row r="23" spans="1:29" x14ac:dyDescent="0.2">
      <c r="B23" t="s">
        <v>494</v>
      </c>
      <c r="D23" t="s">
        <v>471</v>
      </c>
      <c r="M23" t="s">
        <v>472</v>
      </c>
    </row>
    <row r="25" spans="1:29" s="4" customFormat="1" ht="23.25" customHeight="1" x14ac:dyDescent="0.2">
      <c r="A25" s="5" t="s">
        <v>473</v>
      </c>
      <c r="B25" s="6" t="s">
        <v>113</v>
      </c>
      <c r="C25" s="6">
        <v>1</v>
      </c>
      <c r="D25" s="6">
        <v>2</v>
      </c>
      <c r="E25" s="6">
        <v>3</v>
      </c>
      <c r="F25" s="6">
        <v>4</v>
      </c>
      <c r="G25" s="6">
        <v>5</v>
      </c>
      <c r="H25" s="6">
        <v>6</v>
      </c>
      <c r="I25" s="6">
        <v>7</v>
      </c>
      <c r="J25" s="6">
        <v>8</v>
      </c>
      <c r="K25" s="6">
        <v>9</v>
      </c>
      <c r="L25" s="6">
        <v>10</v>
      </c>
      <c r="M25" s="6">
        <v>11</v>
      </c>
      <c r="N25" s="6">
        <v>12</v>
      </c>
      <c r="O25" s="6">
        <v>13</v>
      </c>
      <c r="P25" s="6">
        <v>14</v>
      </c>
      <c r="Q25" s="6">
        <v>15</v>
      </c>
      <c r="R25" s="6">
        <v>16</v>
      </c>
      <c r="S25" s="6">
        <v>17</v>
      </c>
      <c r="T25" s="6">
        <v>18</v>
      </c>
      <c r="U25" s="6">
        <v>19</v>
      </c>
      <c r="V25" s="6">
        <v>20</v>
      </c>
      <c r="W25" s="6">
        <v>21</v>
      </c>
      <c r="X25" s="6">
        <v>22</v>
      </c>
      <c r="Y25" s="6">
        <v>23</v>
      </c>
      <c r="Z25" s="6">
        <v>24</v>
      </c>
      <c r="AA25" s="6">
        <v>25</v>
      </c>
      <c r="AB25" s="7" t="s">
        <v>422</v>
      </c>
      <c r="AC25" s="2"/>
    </row>
    <row r="26" spans="1:29" ht="23.25" customHeight="1" x14ac:dyDescent="0.2">
      <c r="A26" s="8">
        <v>121</v>
      </c>
      <c r="B26" s="3" t="str">
        <f>INSCRIPCIONES!E139</f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9"/>
    </row>
    <row r="27" spans="1:29" ht="23.25" customHeight="1" x14ac:dyDescent="0.2">
      <c r="A27" s="8">
        <v>122</v>
      </c>
      <c r="B27" s="3" t="str">
        <f>INSCRIPCIONES!E140</f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9"/>
    </row>
    <row r="28" spans="1:29" ht="23.25" customHeight="1" x14ac:dyDescent="0.2">
      <c r="A28" s="8">
        <v>123</v>
      </c>
      <c r="B28" s="3" t="str">
        <f>INSCRIPCIONES!E141</f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9"/>
    </row>
    <row r="29" spans="1:29" ht="23.25" customHeight="1" x14ac:dyDescent="0.2">
      <c r="A29" s="8">
        <v>124</v>
      </c>
      <c r="B29" s="3" t="str">
        <f>INSCRIPCIONES!E142</f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9"/>
    </row>
    <row r="30" spans="1:29" ht="23.25" customHeight="1" x14ac:dyDescent="0.2">
      <c r="A30" s="8">
        <v>125</v>
      </c>
      <c r="B30" s="3" t="str">
        <f>INSCRIPCIONES!E143</f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9"/>
    </row>
    <row r="31" spans="1:29" ht="23.25" customHeight="1" x14ac:dyDescent="0.2">
      <c r="A31" s="10">
        <v>126</v>
      </c>
      <c r="B31" s="3" t="str">
        <f>INSCRIPCIONES!E144</f>
        <v/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  <row r="36" spans="2:2" x14ac:dyDescent="0.2">
      <c r="B36" t="s">
        <v>474</v>
      </c>
    </row>
  </sheetData>
  <sheetProtection sheet="1"/>
  <phoneticPr fontId="4" type="noConversion"/>
  <pageMargins left="0.75" right="0.4597222222222222" top="2.013888888888889E-2" bottom="9.7222222222222224E-3" header="0.51180555555555551" footer="0.51180555555555551"/>
  <pageSetup paperSize="9" scale="90" firstPageNumber="0" orientation="landscape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411A25-846D-4D1A-96AD-BA858B4441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28</vt:i4>
      </vt:variant>
    </vt:vector>
  </HeadingPairs>
  <TitlesOfParts>
    <vt:vector size="54" baseType="lpstr">
      <vt:lpstr>PROVINCIAS</vt:lpstr>
      <vt:lpstr>BTiradores</vt:lpstr>
      <vt:lpstr>INSCRIPCIONES</vt:lpstr>
      <vt:lpstr>CLASIFICACION</vt:lpstr>
      <vt:lpstr>CATEGORIAS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'1'!Área_de_impresión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'2'!Área_de_impresión</vt:lpstr>
      <vt:lpstr>'20'!Área_de_impresión</vt:lpstr>
      <vt:lpstr>'21'!Área_de_impresión</vt:lpstr>
      <vt:lpstr>'3'!Área_de_impresión</vt:lpstr>
      <vt:lpstr>'4'!Área_de_impresión</vt:lpstr>
      <vt:lpstr>'5'!Área_de_impresión</vt:lpstr>
      <vt:lpstr>'6'!Área_de_impresión</vt:lpstr>
      <vt:lpstr>'7'!Área_de_impresión</vt:lpstr>
      <vt:lpstr>'8'!Área_de_impresión</vt:lpstr>
      <vt:lpstr>'9'!Área_de_impresión</vt:lpstr>
      <vt:lpstr>BTiradores!Área_de_impresión</vt:lpstr>
      <vt:lpstr>CLASIFICACION!Área_de_impresión</vt:lpstr>
      <vt:lpstr>INSCRIPCIONES!Área_de_impresión</vt:lpstr>
      <vt:lpstr>PROVINCIAS!Área_de_impresión</vt:lpstr>
      <vt:lpstr>CATEGORIAS!Criterios</vt:lpstr>
      <vt:lpstr>CLASIFICACION!Criterios</vt:lpstr>
      <vt:lpstr>INSCRIPCIONES!Títulos_a_imprimir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TIRADA NAVIDAD</dc:title>
  <dc:subject/>
  <dc:creator>Usuario</dc:creator>
  <cp:keywords/>
  <dc:description/>
  <cp:lastModifiedBy>jairo garcia</cp:lastModifiedBy>
  <cp:revision/>
  <cp:lastPrinted>2026-03-01T18:53:14Z</cp:lastPrinted>
  <dcterms:created xsi:type="dcterms:W3CDTF">2018-04-12T19:48:47Z</dcterms:created>
  <dcterms:modified xsi:type="dcterms:W3CDTF">2026-03-01T18:53:24Z</dcterms:modified>
  <cp:category/>
  <cp:contentStatus/>
</cp:coreProperties>
</file>